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cer\Documents\2. Năm Hai\Học kì 1\6. Lập trình trực quan\3. Đồ án cuối kì\HotelBookingManagement\outputs\hotel-booking-timeline\"/>
    </mc:Choice>
  </mc:AlternateContent>
  <xr:revisionPtr revIDLastSave="0" documentId="13_ncr:1_{6A617F9F-11C5-4C80-8B7C-9E1A785310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N5" i="1"/>
  <c r="M5" i="1"/>
  <c r="L5" i="1"/>
  <c r="K5" i="1"/>
  <c r="O5" i="1" s="1"/>
  <c r="J5" i="1"/>
</calcChain>
</file>

<file path=xl/sharedStrings.xml><?xml version="1.0" encoding="utf-8"?>
<sst xmlns="http://schemas.openxmlformats.org/spreadsheetml/2006/main" count="890" uniqueCount="265">
  <si>
    <t>Hotel &amp; Booking Management — Project Tracker</t>
  </si>
  <si>
    <t>PROJECT PROFILE</t>
  </si>
  <si>
    <t>DASHBOARD TỔNG</t>
  </si>
  <si>
    <t>Project</t>
  </si>
  <si>
    <t>Hotel &amp; Booking Management</t>
  </si>
  <si>
    <t>Manager</t>
  </si>
  <si>
    <t>TV01</t>
  </si>
  <si>
    <t>Tổng task</t>
  </si>
  <si>
    <t>Hoàn thành</t>
  </si>
  <si>
    <t>Đang làm</t>
  </si>
  <si>
    <t>Chờ review</t>
  </si>
  <si>
    <t>Chưa bắt đầu</t>
  </si>
  <si>
    <t>% hoàn thành</t>
  </si>
  <si>
    <t>Deadline</t>
  </si>
  <si>
    <t>Team</t>
  </si>
  <si>
    <t>TV01 · TV02 · TV03 · TV04</t>
  </si>
  <si>
    <t>Start</t>
  </si>
  <si>
    <t>Release</t>
  </si>
  <si>
    <t>Source</t>
  </si>
  <si>
    <t>Project Blueprint v1.0</t>
  </si>
  <si>
    <t>WORKSTREAM PLAN</t>
  </si>
  <si>
    <t>GANTT — 6 TUẦN</t>
  </si>
  <si>
    <t>Workstream</t>
  </si>
  <si>
    <t>Task ID</t>
  </si>
  <si>
    <t>Task</t>
  </si>
  <si>
    <t>Owner</t>
  </si>
  <si>
    <t>Status</t>
  </si>
  <si>
    <t>Priority</t>
  </si>
  <si>
    <t>Start date</t>
  </si>
  <si>
    <t>Days</t>
  </si>
  <si>
    <t>PHÂN BỔ ĐÃ CÂN BẰNG</t>
  </si>
  <si>
    <t>Tasks</t>
  </si>
  <si>
    <t>Vai trò</t>
  </si>
  <si>
    <t>Leader, foundation, auth, integration</t>
  </si>
  <si>
    <t>TV02</t>
  </si>
  <si>
    <t>Customer, Room, room statistics</t>
  </si>
  <si>
    <t>TV03</t>
  </si>
  <si>
    <t>Booking, check-in/out, booking statistics</t>
  </si>
  <si>
    <t>PHỐI HỢP &amp; GITHUB</t>
  </si>
  <si>
    <t>TV04</t>
  </si>
  <si>
    <t>Payment, UI, dashboard, docs/slide</t>
  </si>
  <si>
    <t>Depends on</t>
  </si>
  <si>
    <t>Branch đề xuất</t>
  </si>
  <si>
    <t>Reviewer</t>
  </si>
  <si>
    <t>Integration gate</t>
  </si>
  <si>
    <t>Planning</t>
  </si>
  <si>
    <t>P01</t>
  </si>
  <si>
    <t>Xác định bài toán và mục tiêu</t>
  </si>
  <si>
    <t>P0</t>
  </si>
  <si>
    <t>Schema v1 / Models</t>
  </si>
  <si>
    <t>feature/foundation</t>
  </si>
  <si>
    <t>G1: Foundation</t>
  </si>
  <si>
    <t>P02</t>
  </si>
  <si>
    <t>Xác định người dùng mục tiêu</t>
  </si>
  <si>
    <t>P1</t>
  </si>
  <si>
    <t>P03</t>
  </si>
  <si>
    <t>Chốt phạm vi v1.0</t>
  </si>
  <si>
    <t>P04</t>
  </si>
  <si>
    <t>Chốt yêu cầu chức năng</t>
  </si>
  <si>
    <t>P05</t>
  </si>
  <si>
    <t>Chốt yêu cầu phi chức năng</t>
  </si>
  <si>
    <t>P06</t>
  </si>
  <si>
    <t>Hoàn thiện Use Case</t>
  </si>
  <si>
    <t>P07</t>
  </si>
  <si>
    <t>Hoàn thiện user flow</t>
  </si>
  <si>
    <t>P08</t>
  </si>
  <si>
    <t>Duyệt blueprint và phân công</t>
  </si>
  <si>
    <t>Architecture</t>
  </si>
  <si>
    <t>A01</t>
  </si>
  <si>
    <t>Tạo solution WinForms hợp lệ</t>
  </si>
  <si>
    <t>A02</t>
  </si>
  <si>
    <t>Thiết lập project layers</t>
  </si>
  <si>
    <t>A03</t>
  </si>
  <si>
    <t>Khai báo shared Models</t>
  </si>
  <si>
    <t>A04</t>
  </si>
  <si>
    <t>Khai báo repository interfaces</t>
  </si>
  <si>
    <t>A05</t>
  </si>
  <si>
    <t>Khai báo service interfaces</t>
  </si>
  <si>
    <t>A06</t>
  </si>
  <si>
    <t>Thiết lập dependency flow</t>
  </si>
  <si>
    <t>A07</t>
  </si>
  <si>
    <t>Hoàn thiện sơ đồ kiến trúc</t>
  </si>
  <si>
    <t>Database</t>
  </si>
  <si>
    <t>DB01</t>
  </si>
  <si>
    <t>Tạo database và connection mẫu</t>
  </si>
  <si>
    <t>DB02</t>
  </si>
  <si>
    <t>Tạo bảng Users</t>
  </si>
  <si>
    <t>DB03</t>
  </si>
  <si>
    <t>Tạo bảng Customers</t>
  </si>
  <si>
    <t>DB04</t>
  </si>
  <si>
    <t>Tạo bảng RoomTypes</t>
  </si>
  <si>
    <t>DB05</t>
  </si>
  <si>
    <t>Tạo bảng Rooms</t>
  </si>
  <si>
    <t>DB06</t>
  </si>
  <si>
    <t>Tạo Bookings, Details, Payments</t>
  </si>
  <si>
    <t>DB07</t>
  </si>
  <si>
    <t>Tạo seed data phục vụ demo</t>
  </si>
  <si>
    <t>Auth</t>
  </si>
  <si>
    <t>AUTH01</t>
  </si>
  <si>
    <t>Làm giao diện đăng nhập</t>
  </si>
  <si>
    <t>DB01, DB02, A01-A06</t>
  </si>
  <si>
    <t>feature/auth</t>
  </si>
  <si>
    <t>G2: App shell</t>
  </si>
  <si>
    <t>AUTH02</t>
  </si>
  <si>
    <t>Xây authentication service</t>
  </si>
  <si>
    <t>AUTH03</t>
  </si>
  <si>
    <t>Xử lý mật khẩu và tài khoản inactive</t>
  </si>
  <si>
    <t>AUTH04</t>
  </si>
  <si>
    <t>Thêm logout và session cơ bản</t>
  </si>
  <si>
    <t>UI</t>
  </si>
  <si>
    <t>UI01</t>
  </si>
  <si>
    <t>Xây design system chung</t>
  </si>
  <si>
    <t>Core forms merged</t>
  </si>
  <si>
    <t>feature/ui-system</t>
  </si>
  <si>
    <t>G5: UX integration</t>
  </si>
  <si>
    <t>UI02</t>
  </si>
  <si>
    <t>Xây main navigation</t>
  </si>
  <si>
    <t>AUTH01, UI01</t>
  </si>
  <si>
    <t>feature/navigation</t>
  </si>
  <si>
    <t>Customer</t>
  </si>
  <si>
    <t>CUS01</t>
  </si>
  <si>
    <t>Làm form Customer</t>
  </si>
  <si>
    <t>DB03, A03-A04, UI01</t>
  </si>
  <si>
    <t>feature/customer</t>
  </si>
  <si>
    <t>G3: Core management</t>
  </si>
  <si>
    <t>CUS02</t>
  </si>
  <si>
    <t>Xây Customer CRUD</t>
  </si>
  <si>
    <t>CUS03</t>
  </si>
  <si>
    <t>Thêm Customer validation</t>
  </si>
  <si>
    <t>CUS04</t>
  </si>
  <si>
    <t>Thêm Customer search</t>
  </si>
  <si>
    <t>CUS05</t>
  </si>
  <si>
    <t>Hiển thị booking history</t>
  </si>
  <si>
    <t>P2</t>
  </si>
  <si>
    <t>Room</t>
  </si>
  <si>
    <t>ROOM01</t>
  </si>
  <si>
    <t>Làm RoomType form</t>
  </si>
  <si>
    <t>DB04-DB05, A03-A04, UI01</t>
  </si>
  <si>
    <t>feature/room</t>
  </si>
  <si>
    <t>ROOM02</t>
  </si>
  <si>
    <t>Xây Room CRUD</t>
  </si>
  <si>
    <t>ROOM03</t>
  </si>
  <si>
    <t>Quản lý room status</t>
  </si>
  <si>
    <t>ROOM04</t>
  </si>
  <si>
    <t>Thêm Room search</t>
  </si>
  <si>
    <t>ROOM05</t>
  </si>
  <si>
    <t>Thêm lọc theo loại/trạng thái</t>
  </si>
  <si>
    <t>ROOM06</t>
  </si>
  <si>
    <t>Thêm Room validation</t>
  </si>
  <si>
    <t>Booking</t>
  </si>
  <si>
    <t>BOOK01</t>
  </si>
  <si>
    <t>Làm Booking form</t>
  </si>
  <si>
    <t>CUS02, ROOM02-ROOM03</t>
  </si>
  <si>
    <t>feature/booking</t>
  </si>
  <si>
    <t>BOOK02</t>
  </si>
  <si>
    <t>Chọn khách hàng cho booking</t>
  </si>
  <si>
    <t>BOOK03</t>
  </si>
  <si>
    <t>Kiểm tra ngày hợp lệ</t>
  </si>
  <si>
    <t>BOOK04</t>
  </si>
  <si>
    <t>Truy vấn phòng còn trống</t>
  </si>
  <si>
    <t>BOOK05</t>
  </si>
  <si>
    <t>Chặn trùng lịch đặt phòng</t>
  </si>
  <si>
    <t>BOOK06</t>
  </si>
  <si>
    <t>Tạo và lưu booking</t>
  </si>
  <si>
    <t>BOOK07</t>
  </si>
  <si>
    <t>Hủy booking</t>
  </si>
  <si>
    <t>BOOK08</t>
  </si>
  <si>
    <t>Ước tính giá booking</t>
  </si>
  <si>
    <t>Check-in/out</t>
  </si>
  <si>
    <t>CI01</t>
  </si>
  <si>
    <t>Làm Check-in form</t>
  </si>
  <si>
    <t>BOOK06, BOOK08</t>
  </si>
  <si>
    <t>feature/checkin</t>
  </si>
  <si>
    <t>G4: Hotel operations</t>
  </si>
  <si>
    <t>CI02</t>
  </si>
  <si>
    <t>Tìm booking để check-in</t>
  </si>
  <si>
    <t>CI03</t>
  </si>
  <si>
    <t>Xác thực điều kiện check-in</t>
  </si>
  <si>
    <t>CI04</t>
  </si>
  <si>
    <t>Cập nhật room status khi check-in</t>
  </si>
  <si>
    <t>CO01</t>
  </si>
  <si>
    <t>Làm Check-out form</t>
  </si>
  <si>
    <t>CO02</t>
  </si>
  <si>
    <t>Tính hóa đơn cuối kỳ lưu trú</t>
  </si>
  <si>
    <t>CO03</t>
  </si>
  <si>
    <t>Cập nhật booking/room khi check-out</t>
  </si>
  <si>
    <t>Payment</t>
  </si>
  <si>
    <t>PAY01</t>
  </si>
  <si>
    <t>Làm Payment form</t>
  </si>
  <si>
    <t>CO02, CO03</t>
  </si>
  <si>
    <t>feature/payment</t>
  </si>
  <si>
    <t>PAY02</t>
  </si>
  <si>
    <t>Thêm Payment validation</t>
  </si>
  <si>
    <t>PAY03</t>
  </si>
  <si>
    <t>Tạo và lưu payment</t>
  </si>
  <si>
    <t>PAY04</t>
  </si>
  <si>
    <t>Sinh invoice</t>
  </si>
  <si>
    <t>PAY05</t>
  </si>
  <si>
    <t>Hiển thị payment history</t>
  </si>
  <si>
    <t>Dashboard</t>
  </si>
  <si>
    <t>DASH01</t>
  </si>
  <si>
    <t>Làm dashboard layout</t>
  </si>
  <si>
    <t>Customer, Room, Booking, Payment data</t>
  </si>
  <si>
    <t>feature/dashboard</t>
  </si>
  <si>
    <t>DASH02</t>
  </si>
  <si>
    <t>Thống kê trạng thái phòng</t>
  </si>
  <si>
    <t>DASH03</t>
  </si>
  <si>
    <t>Thống kê booking</t>
  </si>
  <si>
    <t>DASH04</t>
  </si>
  <si>
    <t>Thống kê doanh thu</t>
  </si>
  <si>
    <t>DASH05</t>
  </si>
  <si>
    <t>Làm Report screen</t>
  </si>
  <si>
    <t>UI03</t>
  </si>
  <si>
    <t>Chuẩn hóa buttons</t>
  </si>
  <si>
    <t>UI04</t>
  </si>
  <si>
    <t>Chuẩn hóa forms</t>
  </si>
  <si>
    <t>UI05</t>
  </si>
  <si>
    <t>Chuẩn hóa DataGridView</t>
  </si>
  <si>
    <t>UI06</t>
  </si>
  <si>
    <t>Thông báo lỗi/thành công</t>
  </si>
  <si>
    <t>Testing</t>
  </si>
  <si>
    <t>TEST01</t>
  </si>
  <si>
    <t>Test Customer module</t>
  </si>
  <si>
    <t>Relevant module merged to develop</t>
  </si>
  <si>
    <t>fix/integration</t>
  </si>
  <si>
    <t>G6: Test freeze</t>
  </si>
  <si>
    <t>TEST02</t>
  </si>
  <si>
    <t>Test Room module</t>
  </si>
  <si>
    <t>TEST03</t>
  </si>
  <si>
    <t>Test Booking và conflict</t>
  </si>
  <si>
    <t>TEST04</t>
  </si>
  <si>
    <t>Test Check-in/out</t>
  </si>
  <si>
    <t>TEST05</t>
  </si>
  <si>
    <t>Test Payment/Invoice</t>
  </si>
  <si>
    <t>TEST06</t>
  </si>
  <si>
    <t>Integration testing end-to-end</t>
  </si>
  <si>
    <t>TEST07</t>
  </si>
  <si>
    <t>Fix bugs theo mức độ ưu tiên</t>
  </si>
  <si>
    <t>TEST08</t>
  </si>
  <si>
    <t>Final regression testing</t>
  </si>
  <si>
    <t>Documentation</t>
  </si>
  <si>
    <t>DOC01</t>
  </si>
  <si>
    <t>Chụp ảnh UI và cập nhật README</t>
  </si>
  <si>
    <t>Stable UI and completed test evidence</t>
  </si>
  <si>
    <t>docs/project</t>
  </si>
  <si>
    <t>G7: Finalization</t>
  </si>
  <si>
    <t>DOC02</t>
  </si>
  <si>
    <t>Hoàn thiện ERD, architecture, use case</t>
  </si>
  <si>
    <t>DOC03</t>
  </si>
  <si>
    <t>Viết báo cáo và phân công đóng góp</t>
  </si>
  <si>
    <t>Presentation</t>
  </si>
  <si>
    <t>PRES01</t>
  </si>
  <si>
    <t>Lên outline slide</t>
  </si>
  <si>
    <t>DOC03, stable demo build</t>
  </si>
  <si>
    <t>docs/presentation</t>
  </si>
  <si>
    <t>PRES02</t>
  </si>
  <si>
    <t>Thiết kế slide demo</t>
  </si>
  <si>
    <t>PRES03</t>
  </si>
  <si>
    <t>Viết kịch bản thuyết trình</t>
  </si>
  <si>
    <t>PRES04</t>
  </si>
  <si>
    <t>Tập demo và thuyết trình lần 1</t>
  </si>
  <si>
    <t>REL01</t>
  </si>
  <si>
    <t>Sửa lỗi sau buổi tập và chốt bản nộp</t>
  </si>
  <si>
    <t>TEST08, PRES04</t>
  </si>
  <si>
    <t>release/v1.0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</si>
</sst>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"/>
    <numFmt numFmtId="166" formatCode=";;;"/>
  </numFmts>
  <fonts count="11">
    <font>
      <sz val="11"/>
      <name val="Carlito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color rgb="FF493894"/>
      <name val="Arial"/>
    </font>
    <font>
      <b/>
      <sz val="9"/>
      <color rgb="FF493894"/>
      <name val="Arial"/>
    </font>
    <font>
      <b/>
      <sz val="12"/>
      <color rgb="FF493894"/>
      <name val="Arial"/>
    </font>
    <font>
      <b/>
      <sz val="9"/>
      <color rgb="FFFFFFFF"/>
      <name val="Arial"/>
    </font>
    <font>
      <sz val="9"/>
      <color rgb="FF1F2937"/>
      <name val="Arial"/>
    </font>
    <font>
      <sz val="9"/>
      <color rgb="FF1F2937"/>
      <name val="Arial"/>
    </font>
    <font>
      <b/>
      <sz val="9"/>
      <color rgb="FF1F2937"/>
      <name val="Arial"/>
    </font>
  </fonts>
  <fills count="13">
    <fill>
      <patternFill patternType="none"/>
    </fill>
    <fill>
      <patternFill patternType="gray125"/>
    </fill>
    <fill>
      <patternFill patternType="solid">
        <fgColor rgb="FF493894"/>
      </patternFill>
    </fill>
    <fill>
      <patternFill patternType="solid">
        <fgColor rgb="FF5B49A6"/>
      </patternFill>
    </fill>
    <fill>
      <patternFill patternType="solid">
        <fgColor rgb="FFEDE9FE"/>
      </patternFill>
    </fill>
    <fill>
      <patternFill patternType="solid">
        <fgColor rgb="FFF8FAFC"/>
      </patternFill>
    </fill>
    <fill>
      <patternFill patternType="solid">
        <fgColor rgb="FF4F46E5"/>
      </patternFill>
    </fill>
    <fill>
      <patternFill patternType="solid">
        <fgColor rgb="FF14B8A6"/>
      </patternFill>
    </fill>
    <fill>
      <patternFill patternType="solid">
        <fgColor rgb="FF3B82F6"/>
      </patternFill>
    </fill>
    <fill>
      <patternFill patternType="solid">
        <fgColor rgb="FFF97316"/>
      </patternFill>
    </fill>
    <fill>
      <patternFill patternType="solid">
        <fgColor rgb="FF5B49A6"/>
      </patternFill>
    </fill>
    <fill>
      <patternFill patternType="solid">
        <fgColor rgb="FF493894"/>
      </patternFill>
    </fill>
    <fill>
      <patternFill patternType="solid">
        <fgColor rgb="FFEDE9F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6" fontId="8" fillId="6" borderId="0" xfId="0" applyNumberFormat="1" applyFont="1" applyFill="1"/>
    <xf numFmtId="166" fontId="8" fillId="0" borderId="0" xfId="0" applyNumberFormat="1" applyFont="1"/>
    <xf numFmtId="166" fontId="8" fillId="7" borderId="0" xfId="0" applyNumberFormat="1" applyFont="1" applyFill="1"/>
    <xf numFmtId="166" fontId="8" fillId="8" borderId="0" xfId="0" applyNumberFormat="1" applyFont="1" applyFill="1"/>
    <xf numFmtId="166" fontId="8" fillId="9" borderId="0" xfId="0" applyNumberFormat="1" applyFont="1" applyFill="1"/>
    <xf numFmtId="166" fontId="8" fillId="0" borderId="6" xfId="0" applyNumberFormat="1" applyFont="1" applyBorder="1"/>
    <xf numFmtId="166" fontId="8" fillId="0" borderId="7" xfId="0" applyNumberFormat="1" applyFont="1" applyBorder="1"/>
    <xf numFmtId="166" fontId="8" fillId="0" borderId="8" xfId="0" applyNumberFormat="1" applyFont="1" applyBorder="1"/>
    <xf numFmtId="166" fontId="8" fillId="0" borderId="10" xfId="0" applyNumberFormat="1" applyFont="1" applyBorder="1"/>
    <xf numFmtId="166" fontId="8" fillId="6" borderId="11" xfId="0" applyNumberFormat="1" applyFont="1" applyFill="1" applyBorder="1"/>
    <xf numFmtId="0" fontId="8" fillId="0" borderId="12" xfId="0" applyFont="1" applyBorder="1"/>
    <xf numFmtId="166" fontId="8" fillId="6" borderId="6" xfId="0" applyNumberFormat="1" applyFont="1" applyFill="1" applyBorder="1"/>
    <xf numFmtId="0" fontId="8" fillId="0" borderId="7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65" fontId="7" fillId="2" borderId="14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9" fontId="6" fillId="5" borderId="3" xfId="0" applyNumberFormat="1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165" fontId="7" fillId="2" borderId="8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5" fillId="12" borderId="1" xfId="0" applyFont="1" applyFill="1" applyBorder="1" applyAlignment="1">
      <alignment horizontal="center"/>
    </xf>
    <xf numFmtId="0" fontId="2" fillId="10" borderId="1" xfId="0" applyFont="1" applyFill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15" xfId="0" applyFont="1" applyFill="1" applyBorder="1"/>
    <xf numFmtId="0" fontId="2" fillId="3" borderId="12" xfId="0" applyFont="1" applyFill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10" fillId="10" borderId="1" xfId="0" applyFont="1" applyFill="1" applyBorder="1"/>
    <xf numFmtId="0" fontId="8" fillId="0" borderId="2" xfId="0" applyFont="1" applyBorder="1"/>
    <xf numFmtId="0" fontId="7" fillId="11" borderId="1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8" fillId="0" borderId="5" xfId="0" applyFont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49389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7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numFmt numFmtId="164" formatCode="dd/mm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numFmt numFmtId="164" formatCode="dd/mm/yyyy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9"/>
        <color rgb="FF1F2937"/>
        <name val="Arial"/>
        <scheme val="no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0:I94" totalsRowShown="0" headerRowBorderDxfId="17">
  <autoFilter ref="A10:I94" xr:uid="{00000000-0009-0000-0100-000004000000}"/>
  <tableColumns count="9">
    <tableColumn id="1" xr3:uid="{00000000-0010-0000-0000-000001000000}" name="Workstream" dataDxfId="16"/>
    <tableColumn id="2" xr3:uid="{00000000-0010-0000-0000-000002000000}" name="Task ID" dataDxfId="15"/>
    <tableColumn id="3" xr3:uid="{00000000-0010-0000-0000-000003000000}" name="Task" dataDxfId="14"/>
    <tableColumn id="4" xr3:uid="{00000000-0010-0000-0000-000004000000}" name="Owner" dataDxfId="13"/>
    <tableColumn id="5" xr3:uid="{00000000-0010-0000-0000-000005000000}" name="Status" dataDxfId="12"/>
    <tableColumn id="6" xr3:uid="{00000000-0010-0000-0000-000006000000}" name="Priority" dataDxfId="11"/>
    <tableColumn id="7" xr3:uid="{00000000-0010-0000-0000-000007000000}" name="Start date" dataDxfId="10"/>
    <tableColumn id="8" xr3:uid="{00000000-0010-0000-0000-000008000000}" name="Deadline" dataDxfId="9"/>
    <tableColumn id="9" xr3:uid="{00000000-0010-0000-0000-000009000000}" name="Days" dataDxfId="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B3E41-2341-4D4E-A614-3956FF8001CB}" name="Table1" displayName="Table1" ref="P10:S94" totalsRowShown="0" headerRowDxfId="0" headerRowBorderDxfId="6" tableBorderDxfId="7" totalsRowBorderDxfId="5">
  <autoFilter ref="P10:S94" xr:uid="{0BBB3E41-2341-4D4E-A614-3956FF8001CB}"/>
  <tableColumns count="4">
    <tableColumn id="1" xr3:uid="{3A19009C-AC2B-4988-9A36-37529816CC33}" name="Depends on" dataDxfId="4"/>
    <tableColumn id="2" xr3:uid="{AC7DC91C-C889-42D9-A66B-4BB67394E595}" name="Branch đề xuất" dataDxfId="3"/>
    <tableColumn id="3" xr3:uid="{E499EB97-2BCD-444C-AE63-3EDC0E5348D0}" name="Reviewer" dataDxfId="2"/>
    <tableColumn id="4" xr3:uid="{1B71913E-53E0-4C94-88C7-A2DD830FE5C1}" name="Integration gate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showGridLines="0" tabSelected="1" zoomScale="85" zoomScaleNormal="85" workbookViewId="0">
      <pane xSplit="3" ySplit="10" topLeftCell="P77" activePane="bottomRight" state="frozen"/>
      <selection pane="topRight"/>
      <selection pane="bottomLeft"/>
      <selection pane="bottomRight" activeCell="Q37" sqref="Q37"/>
    </sheetView>
  </sheetViews>
  <sheetFormatPr defaultRowHeight="13.8"/>
  <cols>
    <col min="1" max="1" width="16" customWidth="1"/>
    <col min="2" max="2" width="10" customWidth="1"/>
    <col min="3" max="3" width="37.09765625" customWidth="1"/>
    <col min="4" max="4" width="10" customWidth="1"/>
    <col min="5" max="5" width="16" customWidth="1"/>
    <col min="6" max="6" width="9.59765625" customWidth="1"/>
    <col min="7" max="8" width="12" customWidth="1"/>
    <col min="9" max="9" width="8" customWidth="1"/>
    <col min="10" max="13" width="9" customWidth="1"/>
    <col min="14" max="14" width="10.69921875" customWidth="1"/>
    <col min="15" max="15" width="11.3984375" customWidth="1"/>
    <col min="16" max="16" width="30" customWidth="1"/>
    <col min="17" max="17" width="22" customWidth="1"/>
    <col min="18" max="18" width="11" customWidth="1"/>
    <col min="19" max="19" width="28" customWidth="1"/>
  </cols>
  <sheetData>
    <row r="1" spans="1:19" ht="25.95" customHeight="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3" spans="1:19">
      <c r="A3" s="42" t="s">
        <v>1</v>
      </c>
      <c r="B3" s="42"/>
      <c r="C3" s="42"/>
      <c r="D3" s="42"/>
      <c r="E3" s="42"/>
      <c r="F3" s="42"/>
      <c r="G3" s="42"/>
      <c r="H3" s="42"/>
      <c r="J3" s="42" t="s">
        <v>2</v>
      </c>
      <c r="K3" s="42"/>
      <c r="L3" s="42"/>
      <c r="M3" s="42"/>
      <c r="N3" s="42"/>
      <c r="O3" s="42"/>
      <c r="P3" s="42"/>
      <c r="Q3" s="38" t="s">
        <v>30</v>
      </c>
      <c r="R3" s="38"/>
      <c r="S3" s="38"/>
    </row>
    <row r="4" spans="1:19">
      <c r="A4" s="36" t="s">
        <v>3</v>
      </c>
      <c r="B4" s="47" t="s">
        <v>4</v>
      </c>
      <c r="C4" s="47"/>
      <c r="D4" s="46" t="s">
        <v>5</v>
      </c>
      <c r="E4" s="46"/>
      <c r="F4" s="39" t="s">
        <v>6</v>
      </c>
      <c r="G4" s="39"/>
      <c r="H4" s="39"/>
      <c r="J4" s="31" t="s">
        <v>7</v>
      </c>
      <c r="K4" s="31" t="s">
        <v>8</v>
      </c>
      <c r="L4" s="31" t="s">
        <v>9</v>
      </c>
      <c r="M4" s="31" t="s">
        <v>10</v>
      </c>
      <c r="N4" s="31" t="s">
        <v>11</v>
      </c>
      <c r="O4" s="31" t="s">
        <v>12</v>
      </c>
      <c r="P4" s="31" t="s">
        <v>13</v>
      </c>
      <c r="Q4" s="37" t="s">
        <v>25</v>
      </c>
      <c r="R4" s="37" t="s">
        <v>31</v>
      </c>
      <c r="S4" s="37" t="s">
        <v>32</v>
      </c>
    </row>
    <row r="5" spans="1:19" ht="15.6">
      <c r="A5" s="36" t="s">
        <v>14</v>
      </c>
      <c r="B5" s="47" t="s">
        <v>15</v>
      </c>
      <c r="C5" s="47"/>
      <c r="D5" s="46" t="s">
        <v>16</v>
      </c>
      <c r="E5" s="46"/>
      <c r="F5" s="40">
        <v>46306</v>
      </c>
      <c r="G5" s="40"/>
      <c r="H5" s="40"/>
      <c r="J5" s="32">
        <f>COUNTA(B11:B94)</f>
        <v>84</v>
      </c>
      <c r="K5" s="32">
        <f>COUNTIF(E11:E94,"Hoàn thành")</f>
        <v>0</v>
      </c>
      <c r="L5" s="32">
        <f>COUNTIF(E11:E94,"Đang làm")</f>
        <v>0</v>
      </c>
      <c r="M5" s="32">
        <f>COUNTIF(E11:E94,"Chờ review")</f>
        <v>0</v>
      </c>
      <c r="N5" s="32">
        <f>COUNTIF(E11:E94,"Chưa bắt đầu")</f>
        <v>84</v>
      </c>
      <c r="O5" s="33">
        <f>IFERROR(K5/J5,0)</f>
        <v>0</v>
      </c>
      <c r="P5" s="34">
        <f>B6</f>
        <v>46341</v>
      </c>
      <c r="Q5" s="1" t="s">
        <v>6</v>
      </c>
      <c r="R5" s="1">
        <v>21</v>
      </c>
      <c r="S5" s="1" t="s">
        <v>33</v>
      </c>
    </row>
    <row r="6" spans="1:19">
      <c r="A6" s="36" t="s">
        <v>17</v>
      </c>
      <c r="B6" s="48">
        <v>46341</v>
      </c>
      <c r="C6" s="48"/>
      <c r="D6" s="46" t="s">
        <v>18</v>
      </c>
      <c r="E6" s="46"/>
      <c r="F6" s="39" t="s">
        <v>19</v>
      </c>
      <c r="G6" s="39"/>
      <c r="H6" s="39"/>
      <c r="J6" s="23"/>
      <c r="K6" s="24"/>
      <c r="L6" s="24"/>
      <c r="M6" s="24"/>
      <c r="N6" s="24"/>
      <c r="O6" s="24"/>
      <c r="P6" s="25"/>
      <c r="Q6" s="1" t="s">
        <v>34</v>
      </c>
      <c r="R6" s="1">
        <v>21</v>
      </c>
      <c r="S6" s="1" t="s">
        <v>35</v>
      </c>
    </row>
    <row r="7" spans="1:19">
      <c r="J7" s="26"/>
      <c r="P7" s="27"/>
      <c r="Q7" s="1" t="s">
        <v>36</v>
      </c>
      <c r="R7" s="1">
        <v>22</v>
      </c>
      <c r="S7" s="1" t="s">
        <v>37</v>
      </c>
    </row>
    <row r="8" spans="1:19">
      <c r="J8" s="26"/>
      <c r="P8" s="27"/>
      <c r="Q8" s="19" t="s">
        <v>39</v>
      </c>
      <c r="R8" s="19">
        <v>20</v>
      </c>
      <c r="S8" s="19" t="s">
        <v>40</v>
      </c>
    </row>
    <row r="9" spans="1:19">
      <c r="A9" s="43" t="s">
        <v>20</v>
      </c>
      <c r="B9" s="44"/>
      <c r="C9" s="44"/>
      <c r="D9" s="44"/>
      <c r="E9" s="44"/>
      <c r="F9" s="44"/>
      <c r="G9" s="44"/>
      <c r="H9" s="44"/>
      <c r="I9" s="45"/>
      <c r="J9" s="42" t="s">
        <v>21</v>
      </c>
      <c r="K9" s="42"/>
      <c r="L9" s="42"/>
      <c r="M9" s="42"/>
      <c r="N9" s="42"/>
      <c r="O9" s="42"/>
      <c r="P9" s="38" t="s">
        <v>38</v>
      </c>
      <c r="Q9" s="49" t="s">
        <v>39</v>
      </c>
      <c r="R9" s="49">
        <v>20</v>
      </c>
      <c r="S9" s="49" t="s">
        <v>40</v>
      </c>
    </row>
    <row r="10" spans="1:19" ht="13.8" customHeight="1">
      <c r="A10" s="28" t="s">
        <v>22</v>
      </c>
      <c r="B10" s="29" t="s">
        <v>23</v>
      </c>
      <c r="C10" s="29" t="s">
        <v>24</v>
      </c>
      <c r="D10" s="29" t="s">
        <v>25</v>
      </c>
      <c r="E10" s="29" t="s">
        <v>26</v>
      </c>
      <c r="F10" s="29" t="s">
        <v>27</v>
      </c>
      <c r="G10" s="29" t="s">
        <v>28</v>
      </c>
      <c r="H10" s="29" t="s">
        <v>13</v>
      </c>
      <c r="I10" s="29" t="s">
        <v>29</v>
      </c>
      <c r="J10" s="35">
        <v>46306</v>
      </c>
      <c r="K10" s="30">
        <v>46313</v>
      </c>
      <c r="L10" s="30">
        <v>46320</v>
      </c>
      <c r="M10" s="30">
        <v>46327</v>
      </c>
      <c r="N10" s="30">
        <v>46334</v>
      </c>
      <c r="O10" s="30">
        <v>46341</v>
      </c>
      <c r="P10" s="51" t="s">
        <v>41</v>
      </c>
      <c r="Q10" s="52" t="s">
        <v>42</v>
      </c>
      <c r="R10" s="52" t="s">
        <v>43</v>
      </c>
      <c r="S10" s="53" t="s">
        <v>44</v>
      </c>
    </row>
    <row r="11" spans="1:19" ht="13.8" customHeight="1">
      <c r="A11" s="16" t="s">
        <v>45</v>
      </c>
      <c r="B11" s="1" t="s">
        <v>46</v>
      </c>
      <c r="C11" s="1" t="s">
        <v>47</v>
      </c>
      <c r="D11" s="2" t="s">
        <v>6</v>
      </c>
      <c r="E11" s="3" t="s">
        <v>11</v>
      </c>
      <c r="F11" s="2" t="s">
        <v>48</v>
      </c>
      <c r="G11" s="4">
        <v>46306</v>
      </c>
      <c r="H11" s="4">
        <v>46306</v>
      </c>
      <c r="I11" s="5">
        <v>1</v>
      </c>
      <c r="J11" s="17">
        <v>1</v>
      </c>
      <c r="K11" s="11"/>
      <c r="L11" s="11"/>
      <c r="M11" s="11"/>
      <c r="N11" s="11"/>
      <c r="O11" s="12"/>
      <c r="P11" s="16" t="s">
        <v>49</v>
      </c>
      <c r="Q11" s="1" t="s">
        <v>50</v>
      </c>
      <c r="R11" s="1" t="s">
        <v>39</v>
      </c>
      <c r="S11" s="50" t="s">
        <v>51</v>
      </c>
    </row>
    <row r="12" spans="1:19" ht="13.8" customHeight="1">
      <c r="A12" s="16" t="s">
        <v>45</v>
      </c>
      <c r="B12" s="1" t="s">
        <v>52</v>
      </c>
      <c r="C12" s="1" t="s">
        <v>53</v>
      </c>
      <c r="D12" s="2" t="s">
        <v>39</v>
      </c>
      <c r="E12" s="2" t="s">
        <v>11</v>
      </c>
      <c r="F12" s="2" t="s">
        <v>54</v>
      </c>
      <c r="G12" s="4">
        <v>46306</v>
      </c>
      <c r="H12" s="4">
        <v>46306</v>
      </c>
      <c r="I12" s="5">
        <v>1</v>
      </c>
      <c r="J12" s="6">
        <v>1</v>
      </c>
      <c r="K12" s="7"/>
      <c r="L12" s="7"/>
      <c r="M12" s="7"/>
      <c r="N12" s="7"/>
      <c r="O12" s="13"/>
      <c r="P12" s="16" t="s">
        <v>49</v>
      </c>
      <c r="Q12" s="1" t="s">
        <v>50</v>
      </c>
      <c r="R12" s="1" t="s">
        <v>6</v>
      </c>
      <c r="S12" s="50" t="s">
        <v>51</v>
      </c>
    </row>
    <row r="13" spans="1:19" ht="13.8" customHeight="1">
      <c r="A13" s="16" t="s">
        <v>45</v>
      </c>
      <c r="B13" s="1" t="s">
        <v>55</v>
      </c>
      <c r="C13" s="1" t="s">
        <v>56</v>
      </c>
      <c r="D13" s="2" t="s">
        <v>6</v>
      </c>
      <c r="E13" s="2" t="s">
        <v>11</v>
      </c>
      <c r="F13" s="2" t="s">
        <v>48</v>
      </c>
      <c r="G13" s="4">
        <v>46306</v>
      </c>
      <c r="H13" s="4">
        <v>46307</v>
      </c>
      <c r="I13" s="5">
        <v>2</v>
      </c>
      <c r="J13" s="6">
        <v>1</v>
      </c>
      <c r="K13" s="7"/>
      <c r="L13" s="7"/>
      <c r="M13" s="7"/>
      <c r="N13" s="7"/>
      <c r="O13" s="13"/>
      <c r="P13" s="16" t="s">
        <v>49</v>
      </c>
      <c r="Q13" s="1" t="s">
        <v>50</v>
      </c>
      <c r="R13" s="1" t="s">
        <v>39</v>
      </c>
      <c r="S13" s="50" t="s">
        <v>51</v>
      </c>
    </row>
    <row r="14" spans="1:19" ht="13.8" customHeight="1">
      <c r="A14" s="16" t="s">
        <v>45</v>
      </c>
      <c r="B14" s="1" t="s">
        <v>57</v>
      </c>
      <c r="C14" s="1" t="s">
        <v>58</v>
      </c>
      <c r="D14" s="2" t="s">
        <v>36</v>
      </c>
      <c r="E14" s="2" t="s">
        <v>11</v>
      </c>
      <c r="F14" s="2" t="s">
        <v>48</v>
      </c>
      <c r="G14" s="4">
        <v>46306</v>
      </c>
      <c r="H14" s="4">
        <v>46307</v>
      </c>
      <c r="I14" s="5">
        <v>2</v>
      </c>
      <c r="J14" s="6">
        <v>1</v>
      </c>
      <c r="K14" s="7"/>
      <c r="L14" s="7"/>
      <c r="M14" s="7"/>
      <c r="N14" s="7"/>
      <c r="O14" s="13"/>
      <c r="P14" s="16" t="s">
        <v>49</v>
      </c>
      <c r="Q14" s="1" t="s">
        <v>50</v>
      </c>
      <c r="R14" s="1" t="s">
        <v>6</v>
      </c>
      <c r="S14" s="50" t="s">
        <v>51</v>
      </c>
    </row>
    <row r="15" spans="1:19" ht="13.8" customHeight="1">
      <c r="A15" s="16" t="s">
        <v>45</v>
      </c>
      <c r="B15" s="1" t="s">
        <v>59</v>
      </c>
      <c r="C15" s="1" t="s">
        <v>60</v>
      </c>
      <c r="D15" s="2" t="s">
        <v>39</v>
      </c>
      <c r="E15" s="2" t="s">
        <v>11</v>
      </c>
      <c r="F15" s="2" t="s">
        <v>54</v>
      </c>
      <c r="G15" s="4">
        <v>46307</v>
      </c>
      <c r="H15" s="4">
        <v>46307</v>
      </c>
      <c r="I15" s="5">
        <v>1</v>
      </c>
      <c r="J15" s="6">
        <v>1</v>
      </c>
      <c r="K15" s="7"/>
      <c r="L15" s="7"/>
      <c r="M15" s="7"/>
      <c r="N15" s="7"/>
      <c r="O15" s="13"/>
      <c r="P15" s="16" t="s">
        <v>49</v>
      </c>
      <c r="Q15" s="1" t="s">
        <v>50</v>
      </c>
      <c r="R15" s="1" t="s">
        <v>6</v>
      </c>
      <c r="S15" s="50" t="s">
        <v>51</v>
      </c>
    </row>
    <row r="16" spans="1:19" ht="13.8" customHeight="1">
      <c r="A16" s="16" t="s">
        <v>45</v>
      </c>
      <c r="B16" s="1" t="s">
        <v>61</v>
      </c>
      <c r="C16" s="1" t="s">
        <v>62</v>
      </c>
      <c r="D16" s="2" t="s">
        <v>34</v>
      </c>
      <c r="E16" s="2" t="s">
        <v>11</v>
      </c>
      <c r="F16" s="2" t="s">
        <v>54</v>
      </c>
      <c r="G16" s="4">
        <v>46307</v>
      </c>
      <c r="H16" s="4">
        <v>46308</v>
      </c>
      <c r="I16" s="5">
        <v>2</v>
      </c>
      <c r="J16" s="6">
        <v>1</v>
      </c>
      <c r="K16" s="7"/>
      <c r="L16" s="7"/>
      <c r="M16" s="7"/>
      <c r="N16" s="7"/>
      <c r="O16" s="13"/>
      <c r="P16" s="16" t="s">
        <v>49</v>
      </c>
      <c r="Q16" s="1" t="s">
        <v>50</v>
      </c>
      <c r="R16" s="1" t="s">
        <v>6</v>
      </c>
      <c r="S16" s="50" t="s">
        <v>51</v>
      </c>
    </row>
    <row r="17" spans="1:19" ht="13.8" customHeight="1">
      <c r="A17" s="16" t="s">
        <v>45</v>
      </c>
      <c r="B17" s="1" t="s">
        <v>63</v>
      </c>
      <c r="C17" s="1" t="s">
        <v>64</v>
      </c>
      <c r="D17" s="2" t="s">
        <v>36</v>
      </c>
      <c r="E17" s="2" t="s">
        <v>11</v>
      </c>
      <c r="F17" s="2" t="s">
        <v>54</v>
      </c>
      <c r="G17" s="4">
        <v>46307</v>
      </c>
      <c r="H17" s="4">
        <v>46308</v>
      </c>
      <c r="I17" s="5">
        <v>2</v>
      </c>
      <c r="J17" s="6">
        <v>1</v>
      </c>
      <c r="K17" s="7"/>
      <c r="L17" s="7"/>
      <c r="M17" s="7"/>
      <c r="N17" s="7"/>
      <c r="O17" s="13"/>
      <c r="P17" s="16" t="s">
        <v>49</v>
      </c>
      <c r="Q17" s="1" t="s">
        <v>50</v>
      </c>
      <c r="R17" s="1" t="s">
        <v>6</v>
      </c>
      <c r="S17" s="50" t="s">
        <v>51</v>
      </c>
    </row>
    <row r="18" spans="1:19" ht="13.8" customHeight="1">
      <c r="A18" s="16" t="s">
        <v>45</v>
      </c>
      <c r="B18" s="1" t="s">
        <v>65</v>
      </c>
      <c r="C18" s="1" t="s">
        <v>66</v>
      </c>
      <c r="D18" s="2" t="s">
        <v>6</v>
      </c>
      <c r="E18" s="2" t="s">
        <v>11</v>
      </c>
      <c r="F18" s="2" t="s">
        <v>48</v>
      </c>
      <c r="G18" s="4">
        <v>46308</v>
      </c>
      <c r="H18" s="4">
        <v>46308</v>
      </c>
      <c r="I18" s="5">
        <v>1</v>
      </c>
      <c r="J18" s="6">
        <v>1</v>
      </c>
      <c r="K18" s="7"/>
      <c r="L18" s="7"/>
      <c r="M18" s="7"/>
      <c r="N18" s="7"/>
      <c r="O18" s="13"/>
      <c r="P18" s="16" t="s">
        <v>49</v>
      </c>
      <c r="Q18" s="1" t="s">
        <v>50</v>
      </c>
      <c r="R18" s="1" t="s">
        <v>39</v>
      </c>
      <c r="S18" s="50" t="s">
        <v>51</v>
      </c>
    </row>
    <row r="19" spans="1:19" ht="13.8" customHeight="1">
      <c r="A19" s="16" t="s">
        <v>67</v>
      </c>
      <c r="B19" s="1" t="s">
        <v>68</v>
      </c>
      <c r="C19" s="1" t="s">
        <v>69</v>
      </c>
      <c r="D19" s="2" t="s">
        <v>6</v>
      </c>
      <c r="E19" s="2" t="s">
        <v>11</v>
      </c>
      <c r="F19" s="2" t="s">
        <v>48</v>
      </c>
      <c r="G19" s="4">
        <v>46308</v>
      </c>
      <c r="H19" s="4">
        <v>46308</v>
      </c>
      <c r="I19" s="5">
        <v>1</v>
      </c>
      <c r="J19" s="6">
        <v>1</v>
      </c>
      <c r="K19" s="7"/>
      <c r="L19" s="7"/>
      <c r="M19" s="7"/>
      <c r="N19" s="7"/>
      <c r="O19" s="13"/>
      <c r="P19" s="16" t="s">
        <v>49</v>
      </c>
      <c r="Q19" s="1" t="s">
        <v>50</v>
      </c>
      <c r="R19" s="1" t="s">
        <v>39</v>
      </c>
      <c r="S19" s="50" t="s">
        <v>51</v>
      </c>
    </row>
    <row r="20" spans="1:19" ht="13.8" customHeight="1">
      <c r="A20" s="16" t="s">
        <v>67</v>
      </c>
      <c r="B20" s="1" t="s">
        <v>70</v>
      </c>
      <c r="C20" s="1" t="s">
        <v>71</v>
      </c>
      <c r="D20" s="2" t="s">
        <v>6</v>
      </c>
      <c r="E20" s="2" t="s">
        <v>11</v>
      </c>
      <c r="F20" s="2" t="s">
        <v>48</v>
      </c>
      <c r="G20" s="4">
        <v>46308</v>
      </c>
      <c r="H20" s="4">
        <v>46309</v>
      </c>
      <c r="I20" s="5">
        <v>2</v>
      </c>
      <c r="J20" s="6">
        <v>1</v>
      </c>
      <c r="K20" s="7"/>
      <c r="L20" s="7"/>
      <c r="M20" s="7"/>
      <c r="N20" s="7"/>
      <c r="O20" s="13"/>
      <c r="P20" s="16" t="s">
        <v>49</v>
      </c>
      <c r="Q20" s="1" t="s">
        <v>50</v>
      </c>
      <c r="R20" s="1" t="s">
        <v>39</v>
      </c>
      <c r="S20" s="50" t="s">
        <v>51</v>
      </c>
    </row>
    <row r="21" spans="1:19" ht="13.8" customHeight="1">
      <c r="A21" s="16" t="s">
        <v>67</v>
      </c>
      <c r="B21" s="1" t="s">
        <v>72</v>
      </c>
      <c r="C21" s="1" t="s">
        <v>73</v>
      </c>
      <c r="D21" s="2" t="s">
        <v>34</v>
      </c>
      <c r="E21" s="2" t="s">
        <v>11</v>
      </c>
      <c r="F21" s="2" t="s">
        <v>48</v>
      </c>
      <c r="G21" s="4">
        <v>46309</v>
      </c>
      <c r="H21" s="4">
        <v>46309</v>
      </c>
      <c r="I21" s="5">
        <v>1</v>
      </c>
      <c r="J21" s="6">
        <v>1</v>
      </c>
      <c r="K21" s="7"/>
      <c r="L21" s="7"/>
      <c r="M21" s="7"/>
      <c r="N21" s="7"/>
      <c r="O21" s="13"/>
      <c r="P21" s="16" t="s">
        <v>49</v>
      </c>
      <c r="Q21" s="1" t="s">
        <v>50</v>
      </c>
      <c r="R21" s="1" t="s">
        <v>6</v>
      </c>
      <c r="S21" s="50" t="s">
        <v>51</v>
      </c>
    </row>
    <row r="22" spans="1:19" ht="13.8" customHeight="1">
      <c r="A22" s="16" t="s">
        <v>67</v>
      </c>
      <c r="B22" s="1" t="s">
        <v>74</v>
      </c>
      <c r="C22" s="1" t="s">
        <v>75</v>
      </c>
      <c r="D22" s="2" t="s">
        <v>34</v>
      </c>
      <c r="E22" s="2" t="s">
        <v>11</v>
      </c>
      <c r="F22" s="2" t="s">
        <v>54</v>
      </c>
      <c r="G22" s="4">
        <v>46309</v>
      </c>
      <c r="H22" s="4">
        <v>46310</v>
      </c>
      <c r="I22" s="5">
        <v>2</v>
      </c>
      <c r="J22" s="6">
        <v>1</v>
      </c>
      <c r="K22" s="7"/>
      <c r="L22" s="7"/>
      <c r="M22" s="7"/>
      <c r="N22" s="7"/>
      <c r="O22" s="13"/>
      <c r="P22" s="16" t="s">
        <v>49</v>
      </c>
      <c r="Q22" s="1" t="s">
        <v>50</v>
      </c>
      <c r="R22" s="1" t="s">
        <v>6</v>
      </c>
      <c r="S22" s="50" t="s">
        <v>51</v>
      </c>
    </row>
    <row r="23" spans="1:19" ht="13.8" customHeight="1">
      <c r="A23" s="16" t="s">
        <v>67</v>
      </c>
      <c r="B23" s="1" t="s">
        <v>76</v>
      </c>
      <c r="C23" s="1" t="s">
        <v>77</v>
      </c>
      <c r="D23" s="2" t="s">
        <v>36</v>
      </c>
      <c r="E23" s="2" t="s">
        <v>11</v>
      </c>
      <c r="F23" s="2" t="s">
        <v>54</v>
      </c>
      <c r="G23" s="4">
        <v>46309</v>
      </c>
      <c r="H23" s="4">
        <v>46310</v>
      </c>
      <c r="I23" s="5">
        <v>2</v>
      </c>
      <c r="J23" s="6">
        <v>1</v>
      </c>
      <c r="K23" s="7"/>
      <c r="L23" s="7"/>
      <c r="M23" s="7"/>
      <c r="N23" s="7"/>
      <c r="O23" s="13"/>
      <c r="P23" s="16" t="s">
        <v>49</v>
      </c>
      <c r="Q23" s="1" t="s">
        <v>50</v>
      </c>
      <c r="R23" s="1" t="s">
        <v>6</v>
      </c>
      <c r="S23" s="50" t="s">
        <v>51</v>
      </c>
    </row>
    <row r="24" spans="1:19" ht="13.8" customHeight="1">
      <c r="A24" s="16" t="s">
        <v>67</v>
      </c>
      <c r="B24" s="1" t="s">
        <v>78</v>
      </c>
      <c r="C24" s="1" t="s">
        <v>79</v>
      </c>
      <c r="D24" s="2" t="s">
        <v>6</v>
      </c>
      <c r="E24" s="2" t="s">
        <v>11</v>
      </c>
      <c r="F24" s="2" t="s">
        <v>48</v>
      </c>
      <c r="G24" s="4">
        <v>46309</v>
      </c>
      <c r="H24" s="4">
        <v>46310</v>
      </c>
      <c r="I24" s="5">
        <v>2</v>
      </c>
      <c r="J24" s="6">
        <v>1</v>
      </c>
      <c r="K24" s="7"/>
      <c r="L24" s="7"/>
      <c r="M24" s="7"/>
      <c r="N24" s="7"/>
      <c r="O24" s="13"/>
      <c r="P24" s="16" t="s">
        <v>49</v>
      </c>
      <c r="Q24" s="1" t="s">
        <v>50</v>
      </c>
      <c r="R24" s="1" t="s">
        <v>39</v>
      </c>
      <c r="S24" s="50" t="s">
        <v>51</v>
      </c>
    </row>
    <row r="25" spans="1:19" ht="13.8" customHeight="1">
      <c r="A25" s="16" t="s">
        <v>67</v>
      </c>
      <c r="B25" s="1" t="s">
        <v>80</v>
      </c>
      <c r="C25" s="1" t="s">
        <v>81</v>
      </c>
      <c r="D25" s="2" t="s">
        <v>39</v>
      </c>
      <c r="E25" s="2" t="s">
        <v>11</v>
      </c>
      <c r="F25" s="2" t="s">
        <v>54</v>
      </c>
      <c r="G25" s="4">
        <v>46310</v>
      </c>
      <c r="H25" s="4">
        <v>46310</v>
      </c>
      <c r="I25" s="5">
        <v>1</v>
      </c>
      <c r="J25" s="6">
        <v>1</v>
      </c>
      <c r="K25" s="7"/>
      <c r="L25" s="7"/>
      <c r="M25" s="7"/>
      <c r="N25" s="7"/>
      <c r="O25" s="13"/>
      <c r="P25" s="16" t="s">
        <v>49</v>
      </c>
      <c r="Q25" s="1" t="s">
        <v>50</v>
      </c>
      <c r="R25" s="1" t="s">
        <v>6</v>
      </c>
      <c r="S25" s="50" t="s">
        <v>51</v>
      </c>
    </row>
    <row r="26" spans="1:19" ht="13.8" customHeight="1">
      <c r="A26" s="16" t="s">
        <v>82</v>
      </c>
      <c r="B26" s="1" t="s">
        <v>83</v>
      </c>
      <c r="C26" s="1" t="s">
        <v>84</v>
      </c>
      <c r="D26" s="2" t="s">
        <v>6</v>
      </c>
      <c r="E26" s="2" t="s">
        <v>11</v>
      </c>
      <c r="F26" s="2" t="s">
        <v>48</v>
      </c>
      <c r="G26" s="4">
        <v>46309</v>
      </c>
      <c r="H26" s="4">
        <v>46310</v>
      </c>
      <c r="I26" s="5">
        <v>2</v>
      </c>
      <c r="J26" s="6">
        <v>1</v>
      </c>
      <c r="K26" s="7"/>
      <c r="L26" s="7"/>
      <c r="M26" s="7"/>
      <c r="N26" s="7"/>
      <c r="O26" s="13"/>
      <c r="P26" s="16" t="s">
        <v>49</v>
      </c>
      <c r="Q26" s="1" t="s">
        <v>50</v>
      </c>
      <c r="R26" s="1" t="s">
        <v>39</v>
      </c>
      <c r="S26" s="50" t="s">
        <v>51</v>
      </c>
    </row>
    <row r="27" spans="1:19" ht="13.8" customHeight="1">
      <c r="A27" s="16" t="s">
        <v>82</v>
      </c>
      <c r="B27" s="1" t="s">
        <v>85</v>
      </c>
      <c r="C27" s="1" t="s">
        <v>86</v>
      </c>
      <c r="D27" s="2" t="s">
        <v>6</v>
      </c>
      <c r="E27" s="2" t="s">
        <v>11</v>
      </c>
      <c r="F27" s="2" t="s">
        <v>48</v>
      </c>
      <c r="G27" s="4">
        <v>46310</v>
      </c>
      <c r="H27" s="4">
        <v>46310</v>
      </c>
      <c r="I27" s="5">
        <v>1</v>
      </c>
      <c r="J27" s="6">
        <v>1</v>
      </c>
      <c r="K27" s="7"/>
      <c r="L27" s="7"/>
      <c r="M27" s="7"/>
      <c r="N27" s="7"/>
      <c r="O27" s="13"/>
      <c r="P27" s="16" t="s">
        <v>49</v>
      </c>
      <c r="Q27" s="1" t="s">
        <v>50</v>
      </c>
      <c r="R27" s="1" t="s">
        <v>39</v>
      </c>
      <c r="S27" s="50" t="s">
        <v>51</v>
      </c>
    </row>
    <row r="28" spans="1:19" ht="13.8" customHeight="1">
      <c r="A28" s="16" t="s">
        <v>82</v>
      </c>
      <c r="B28" s="1" t="s">
        <v>87</v>
      </c>
      <c r="C28" s="1" t="s">
        <v>88</v>
      </c>
      <c r="D28" s="2" t="s">
        <v>34</v>
      </c>
      <c r="E28" s="2" t="s">
        <v>11</v>
      </c>
      <c r="F28" s="2" t="s">
        <v>48</v>
      </c>
      <c r="G28" s="4">
        <v>46310</v>
      </c>
      <c r="H28" s="4">
        <v>46311</v>
      </c>
      <c r="I28" s="5">
        <v>2</v>
      </c>
      <c r="J28" s="8">
        <v>1</v>
      </c>
      <c r="K28" s="7"/>
      <c r="L28" s="7"/>
      <c r="M28" s="7"/>
      <c r="N28" s="7"/>
      <c r="O28" s="13"/>
      <c r="P28" s="16" t="s">
        <v>49</v>
      </c>
      <c r="Q28" s="1" t="s">
        <v>50</v>
      </c>
      <c r="R28" s="1" t="s">
        <v>6</v>
      </c>
      <c r="S28" s="50" t="s">
        <v>51</v>
      </c>
    </row>
    <row r="29" spans="1:19" ht="13.8" customHeight="1">
      <c r="A29" s="16" t="s">
        <v>82</v>
      </c>
      <c r="B29" s="1" t="s">
        <v>89</v>
      </c>
      <c r="C29" s="1" t="s">
        <v>90</v>
      </c>
      <c r="D29" s="2" t="s">
        <v>34</v>
      </c>
      <c r="E29" s="2" t="s">
        <v>11</v>
      </c>
      <c r="F29" s="2" t="s">
        <v>48</v>
      </c>
      <c r="G29" s="4">
        <v>46310</v>
      </c>
      <c r="H29" s="4">
        <v>46311</v>
      </c>
      <c r="I29" s="5">
        <v>2</v>
      </c>
      <c r="J29" s="8">
        <v>1</v>
      </c>
      <c r="K29" s="7"/>
      <c r="L29" s="7"/>
      <c r="M29" s="7"/>
      <c r="N29" s="7"/>
      <c r="O29" s="13"/>
      <c r="P29" s="16" t="s">
        <v>49</v>
      </c>
      <c r="Q29" s="1" t="s">
        <v>50</v>
      </c>
      <c r="R29" s="1" t="s">
        <v>6</v>
      </c>
      <c r="S29" s="50" t="s">
        <v>51</v>
      </c>
    </row>
    <row r="30" spans="1:19" ht="13.8" customHeight="1">
      <c r="A30" s="16" t="s">
        <v>82</v>
      </c>
      <c r="B30" s="1" t="s">
        <v>91</v>
      </c>
      <c r="C30" s="1" t="s">
        <v>92</v>
      </c>
      <c r="D30" s="2" t="s">
        <v>34</v>
      </c>
      <c r="E30" s="2" t="s">
        <v>11</v>
      </c>
      <c r="F30" s="2" t="s">
        <v>48</v>
      </c>
      <c r="G30" s="4">
        <v>46311</v>
      </c>
      <c r="H30" s="4">
        <v>46311</v>
      </c>
      <c r="I30" s="5">
        <v>1</v>
      </c>
      <c r="J30" s="8">
        <v>1</v>
      </c>
      <c r="K30" s="7"/>
      <c r="L30" s="7"/>
      <c r="M30" s="7"/>
      <c r="N30" s="7"/>
      <c r="O30" s="13"/>
      <c r="P30" s="16" t="s">
        <v>49</v>
      </c>
      <c r="Q30" s="1" t="s">
        <v>50</v>
      </c>
      <c r="R30" s="1" t="s">
        <v>6</v>
      </c>
      <c r="S30" s="50" t="s">
        <v>51</v>
      </c>
    </row>
    <row r="31" spans="1:19" ht="13.8" customHeight="1">
      <c r="A31" s="16" t="s">
        <v>82</v>
      </c>
      <c r="B31" s="1" t="s">
        <v>93</v>
      </c>
      <c r="C31" s="1" t="s">
        <v>94</v>
      </c>
      <c r="D31" s="2" t="s">
        <v>36</v>
      </c>
      <c r="E31" s="2" t="s">
        <v>11</v>
      </c>
      <c r="F31" s="2" t="s">
        <v>48</v>
      </c>
      <c r="G31" s="4">
        <v>46311</v>
      </c>
      <c r="H31" s="4">
        <v>46312</v>
      </c>
      <c r="I31" s="5">
        <v>2</v>
      </c>
      <c r="J31" s="9">
        <v>1</v>
      </c>
      <c r="K31" s="7"/>
      <c r="L31" s="7"/>
      <c r="M31" s="7"/>
      <c r="N31" s="7"/>
      <c r="O31" s="13"/>
      <c r="P31" s="16" t="s">
        <v>49</v>
      </c>
      <c r="Q31" s="1" t="s">
        <v>50</v>
      </c>
      <c r="R31" s="1" t="s">
        <v>6</v>
      </c>
      <c r="S31" s="50" t="s">
        <v>51</v>
      </c>
    </row>
    <row r="32" spans="1:19" ht="13.8" customHeight="1">
      <c r="A32" s="16" t="s">
        <v>82</v>
      </c>
      <c r="B32" s="1" t="s">
        <v>95</v>
      </c>
      <c r="C32" s="1" t="s">
        <v>96</v>
      </c>
      <c r="D32" s="2" t="s">
        <v>39</v>
      </c>
      <c r="E32" s="2" t="s">
        <v>11</v>
      </c>
      <c r="F32" s="2" t="s">
        <v>54</v>
      </c>
      <c r="G32" s="4">
        <v>46312</v>
      </c>
      <c r="H32" s="4">
        <v>46313</v>
      </c>
      <c r="I32" s="5">
        <v>2</v>
      </c>
      <c r="J32" s="6">
        <v>1</v>
      </c>
      <c r="K32" s="6">
        <v>1</v>
      </c>
      <c r="L32" s="7"/>
      <c r="M32" s="7"/>
      <c r="N32" s="7"/>
      <c r="O32" s="13"/>
      <c r="P32" s="16" t="s">
        <v>49</v>
      </c>
      <c r="Q32" s="1" t="s">
        <v>50</v>
      </c>
      <c r="R32" s="1" t="s">
        <v>6</v>
      </c>
      <c r="S32" s="50" t="s">
        <v>51</v>
      </c>
    </row>
    <row r="33" spans="1:19" ht="13.8" customHeight="1">
      <c r="A33" s="16" t="s">
        <v>97</v>
      </c>
      <c r="B33" s="1" t="s">
        <v>98</v>
      </c>
      <c r="C33" s="1" t="s">
        <v>99</v>
      </c>
      <c r="D33" s="2" t="s">
        <v>6</v>
      </c>
      <c r="E33" s="2" t="s">
        <v>11</v>
      </c>
      <c r="F33" s="2" t="s">
        <v>48</v>
      </c>
      <c r="G33" s="4">
        <v>46311</v>
      </c>
      <c r="H33" s="4">
        <v>46312</v>
      </c>
      <c r="I33" s="5">
        <v>2</v>
      </c>
      <c r="J33" s="6">
        <v>1</v>
      </c>
      <c r="K33" s="7"/>
      <c r="L33" s="7"/>
      <c r="M33" s="7"/>
      <c r="N33" s="7"/>
      <c r="O33" s="13"/>
      <c r="P33" s="16" t="s">
        <v>100</v>
      </c>
      <c r="Q33" s="1" t="s">
        <v>101</v>
      </c>
      <c r="R33" s="1" t="s">
        <v>39</v>
      </c>
      <c r="S33" s="50" t="s">
        <v>102</v>
      </c>
    </row>
    <row r="34" spans="1:19" ht="13.8" customHeight="1">
      <c r="A34" s="16" t="s">
        <v>97</v>
      </c>
      <c r="B34" s="1" t="s">
        <v>103</v>
      </c>
      <c r="C34" s="1" t="s">
        <v>104</v>
      </c>
      <c r="D34" s="2" t="s">
        <v>6</v>
      </c>
      <c r="E34" s="2" t="s">
        <v>11</v>
      </c>
      <c r="F34" s="2" t="s">
        <v>48</v>
      </c>
      <c r="G34" s="4">
        <v>46312</v>
      </c>
      <c r="H34" s="4">
        <v>46313</v>
      </c>
      <c r="I34" s="5">
        <v>2</v>
      </c>
      <c r="J34" s="6">
        <v>1</v>
      </c>
      <c r="K34" s="6">
        <v>1</v>
      </c>
      <c r="L34" s="7"/>
      <c r="M34" s="7"/>
      <c r="N34" s="7"/>
      <c r="O34" s="13"/>
      <c r="P34" s="16" t="s">
        <v>100</v>
      </c>
      <c r="Q34" s="1" t="s">
        <v>101</v>
      </c>
      <c r="R34" s="1" t="s">
        <v>39</v>
      </c>
      <c r="S34" s="50" t="s">
        <v>102</v>
      </c>
    </row>
    <row r="35" spans="1:19" ht="13.8" customHeight="1">
      <c r="A35" s="16" t="s">
        <v>97</v>
      </c>
      <c r="B35" s="1" t="s">
        <v>105</v>
      </c>
      <c r="C35" s="1" t="s">
        <v>106</v>
      </c>
      <c r="D35" s="2" t="s">
        <v>6</v>
      </c>
      <c r="E35" s="2" t="s">
        <v>11</v>
      </c>
      <c r="F35" s="2" t="s">
        <v>48</v>
      </c>
      <c r="G35" s="4">
        <v>46313</v>
      </c>
      <c r="H35" s="4">
        <v>46313</v>
      </c>
      <c r="I35" s="5">
        <v>1</v>
      </c>
      <c r="J35" s="7"/>
      <c r="K35" s="6">
        <v>1</v>
      </c>
      <c r="L35" s="7"/>
      <c r="M35" s="7"/>
      <c r="N35" s="7"/>
      <c r="O35" s="13"/>
      <c r="P35" s="16" t="s">
        <v>100</v>
      </c>
      <c r="Q35" s="1" t="s">
        <v>101</v>
      </c>
      <c r="R35" s="1" t="s">
        <v>39</v>
      </c>
      <c r="S35" s="50" t="s">
        <v>102</v>
      </c>
    </row>
    <row r="36" spans="1:19" ht="13.8" customHeight="1">
      <c r="A36" s="16" t="s">
        <v>97</v>
      </c>
      <c r="B36" s="1" t="s">
        <v>107</v>
      </c>
      <c r="C36" s="1" t="s">
        <v>108</v>
      </c>
      <c r="D36" s="2" t="s">
        <v>6</v>
      </c>
      <c r="E36" s="2" t="s">
        <v>11</v>
      </c>
      <c r="F36" s="2" t="s">
        <v>54</v>
      </c>
      <c r="G36" s="4">
        <v>46313</v>
      </c>
      <c r="H36" s="4">
        <v>46313</v>
      </c>
      <c r="I36" s="5">
        <v>1</v>
      </c>
      <c r="J36" s="7"/>
      <c r="K36" s="6">
        <v>1</v>
      </c>
      <c r="L36" s="7"/>
      <c r="M36" s="7"/>
      <c r="N36" s="7"/>
      <c r="O36" s="13"/>
      <c r="P36" s="16" t="s">
        <v>100</v>
      </c>
      <c r="Q36" s="1" t="s">
        <v>101</v>
      </c>
      <c r="R36" s="1" t="s">
        <v>39</v>
      </c>
      <c r="S36" s="50" t="s">
        <v>102</v>
      </c>
    </row>
    <row r="37" spans="1:19" ht="13.8" customHeight="1">
      <c r="A37" s="16" t="s">
        <v>109</v>
      </c>
      <c r="B37" s="1" t="s">
        <v>110</v>
      </c>
      <c r="C37" s="1" t="s">
        <v>111</v>
      </c>
      <c r="D37" s="2" t="s">
        <v>39</v>
      </c>
      <c r="E37" s="2" t="s">
        <v>11</v>
      </c>
      <c r="F37" s="2" t="s">
        <v>54</v>
      </c>
      <c r="G37" s="4">
        <v>46310</v>
      </c>
      <c r="H37" s="4">
        <v>46312</v>
      </c>
      <c r="I37" s="5">
        <v>3</v>
      </c>
      <c r="J37" s="10">
        <v>1</v>
      </c>
      <c r="K37" s="7"/>
      <c r="L37" s="7"/>
      <c r="M37" s="7"/>
      <c r="N37" s="7"/>
      <c r="O37" s="13"/>
      <c r="P37" s="16" t="s">
        <v>112</v>
      </c>
      <c r="Q37" s="1" t="s">
        <v>113</v>
      </c>
      <c r="R37" s="1" t="s">
        <v>6</v>
      </c>
      <c r="S37" s="50" t="s">
        <v>114</v>
      </c>
    </row>
    <row r="38" spans="1:19" ht="13.8" customHeight="1">
      <c r="A38" s="16" t="s">
        <v>109</v>
      </c>
      <c r="B38" s="1" t="s">
        <v>115</v>
      </c>
      <c r="C38" s="1" t="s">
        <v>116</v>
      </c>
      <c r="D38" s="2" t="s">
        <v>6</v>
      </c>
      <c r="E38" s="2" t="s">
        <v>11</v>
      </c>
      <c r="F38" s="2" t="s">
        <v>48</v>
      </c>
      <c r="G38" s="4">
        <v>46312</v>
      </c>
      <c r="H38" s="4">
        <v>46313</v>
      </c>
      <c r="I38" s="5">
        <v>2</v>
      </c>
      <c r="J38" s="6">
        <v>1</v>
      </c>
      <c r="K38" s="6">
        <v>1</v>
      </c>
      <c r="L38" s="7"/>
      <c r="M38" s="7"/>
      <c r="N38" s="7"/>
      <c r="O38" s="13"/>
      <c r="P38" s="16" t="s">
        <v>117</v>
      </c>
      <c r="Q38" s="1" t="s">
        <v>118</v>
      </c>
      <c r="R38" s="1" t="s">
        <v>39</v>
      </c>
      <c r="S38" s="50" t="s">
        <v>102</v>
      </c>
    </row>
    <row r="39" spans="1:19" ht="13.8" customHeight="1">
      <c r="A39" s="16" t="s">
        <v>119</v>
      </c>
      <c r="B39" s="1" t="s">
        <v>120</v>
      </c>
      <c r="C39" s="1" t="s">
        <v>121</v>
      </c>
      <c r="D39" s="2" t="s">
        <v>34</v>
      </c>
      <c r="E39" s="2" t="s">
        <v>11</v>
      </c>
      <c r="F39" s="2" t="s">
        <v>48</v>
      </c>
      <c r="G39" s="4">
        <v>46313</v>
      </c>
      <c r="H39" s="4">
        <v>46314</v>
      </c>
      <c r="I39" s="5">
        <v>2</v>
      </c>
      <c r="J39" s="7"/>
      <c r="K39" s="8">
        <v>1</v>
      </c>
      <c r="L39" s="7"/>
      <c r="M39" s="7"/>
      <c r="N39" s="7"/>
      <c r="O39" s="13"/>
      <c r="P39" s="16" t="s">
        <v>122</v>
      </c>
      <c r="Q39" s="1" t="s">
        <v>123</v>
      </c>
      <c r="R39" s="1" t="s">
        <v>6</v>
      </c>
      <c r="S39" s="50" t="s">
        <v>124</v>
      </c>
    </row>
    <row r="40" spans="1:19" ht="13.8" customHeight="1">
      <c r="A40" s="16" t="s">
        <v>119</v>
      </c>
      <c r="B40" s="1" t="s">
        <v>125</v>
      </c>
      <c r="C40" s="1" t="s">
        <v>126</v>
      </c>
      <c r="D40" s="2" t="s">
        <v>34</v>
      </c>
      <c r="E40" s="2" t="s">
        <v>11</v>
      </c>
      <c r="F40" s="2" t="s">
        <v>48</v>
      </c>
      <c r="G40" s="4">
        <v>46314</v>
      </c>
      <c r="H40" s="4">
        <v>46315</v>
      </c>
      <c r="I40" s="5">
        <v>2</v>
      </c>
      <c r="J40" s="7"/>
      <c r="K40" s="8">
        <v>1</v>
      </c>
      <c r="L40" s="7"/>
      <c r="M40" s="7"/>
      <c r="N40" s="7"/>
      <c r="O40" s="13"/>
      <c r="P40" s="16" t="s">
        <v>122</v>
      </c>
      <c r="Q40" s="1" t="s">
        <v>123</v>
      </c>
      <c r="R40" s="1" t="s">
        <v>6</v>
      </c>
      <c r="S40" s="50" t="s">
        <v>124</v>
      </c>
    </row>
    <row r="41" spans="1:19" ht="13.8" customHeight="1">
      <c r="A41" s="16" t="s">
        <v>119</v>
      </c>
      <c r="B41" s="1" t="s">
        <v>127</v>
      </c>
      <c r="C41" s="1" t="s">
        <v>128</v>
      </c>
      <c r="D41" s="2" t="s">
        <v>34</v>
      </c>
      <c r="E41" s="2" t="s">
        <v>11</v>
      </c>
      <c r="F41" s="2" t="s">
        <v>54</v>
      </c>
      <c r="G41" s="4">
        <v>46315</v>
      </c>
      <c r="H41" s="4">
        <v>46315</v>
      </c>
      <c r="I41" s="5">
        <v>1</v>
      </c>
      <c r="J41" s="7"/>
      <c r="K41" s="8">
        <v>1</v>
      </c>
      <c r="L41" s="7"/>
      <c r="M41" s="7"/>
      <c r="N41" s="7"/>
      <c r="O41" s="13"/>
      <c r="P41" s="16" t="s">
        <v>122</v>
      </c>
      <c r="Q41" s="1" t="s">
        <v>123</v>
      </c>
      <c r="R41" s="1" t="s">
        <v>6</v>
      </c>
      <c r="S41" s="50" t="s">
        <v>124</v>
      </c>
    </row>
    <row r="42" spans="1:19" ht="13.8" customHeight="1">
      <c r="A42" s="16" t="s">
        <v>119</v>
      </c>
      <c r="B42" s="1" t="s">
        <v>129</v>
      </c>
      <c r="C42" s="1" t="s">
        <v>130</v>
      </c>
      <c r="D42" s="2" t="s">
        <v>34</v>
      </c>
      <c r="E42" s="2" t="s">
        <v>11</v>
      </c>
      <c r="F42" s="2" t="s">
        <v>54</v>
      </c>
      <c r="G42" s="4">
        <v>46315</v>
      </c>
      <c r="H42" s="4">
        <v>46316</v>
      </c>
      <c r="I42" s="5">
        <v>2</v>
      </c>
      <c r="J42" s="7"/>
      <c r="K42" s="8">
        <v>1</v>
      </c>
      <c r="L42" s="7"/>
      <c r="M42" s="7"/>
      <c r="N42" s="7"/>
      <c r="O42" s="13"/>
      <c r="P42" s="16" t="s">
        <v>122</v>
      </c>
      <c r="Q42" s="1" t="s">
        <v>123</v>
      </c>
      <c r="R42" s="1" t="s">
        <v>6</v>
      </c>
      <c r="S42" s="50" t="s">
        <v>124</v>
      </c>
    </row>
    <row r="43" spans="1:19" ht="13.8" customHeight="1">
      <c r="A43" s="16" t="s">
        <v>119</v>
      </c>
      <c r="B43" s="1" t="s">
        <v>131</v>
      </c>
      <c r="C43" s="1" t="s">
        <v>132</v>
      </c>
      <c r="D43" s="2" t="s">
        <v>34</v>
      </c>
      <c r="E43" s="2" t="s">
        <v>11</v>
      </c>
      <c r="F43" s="2" t="s">
        <v>133</v>
      </c>
      <c r="G43" s="4">
        <v>46316</v>
      </c>
      <c r="H43" s="4">
        <v>46317</v>
      </c>
      <c r="I43" s="5">
        <v>2</v>
      </c>
      <c r="J43" s="7"/>
      <c r="K43" s="8">
        <v>1</v>
      </c>
      <c r="L43" s="7"/>
      <c r="M43" s="7"/>
      <c r="N43" s="7"/>
      <c r="O43" s="13"/>
      <c r="P43" s="16" t="s">
        <v>122</v>
      </c>
      <c r="Q43" s="1" t="s">
        <v>123</v>
      </c>
      <c r="R43" s="1" t="s">
        <v>6</v>
      </c>
      <c r="S43" s="50" t="s">
        <v>124</v>
      </c>
    </row>
    <row r="44" spans="1:19" ht="13.8" customHeight="1">
      <c r="A44" s="16" t="s">
        <v>134</v>
      </c>
      <c r="B44" s="1" t="s">
        <v>135</v>
      </c>
      <c r="C44" s="1" t="s">
        <v>136</v>
      </c>
      <c r="D44" s="2" t="s">
        <v>34</v>
      </c>
      <c r="E44" s="2" t="s">
        <v>11</v>
      </c>
      <c r="F44" s="2" t="s">
        <v>54</v>
      </c>
      <c r="G44" s="4">
        <v>46313</v>
      </c>
      <c r="H44" s="4">
        <v>46314</v>
      </c>
      <c r="I44" s="5">
        <v>2</v>
      </c>
      <c r="J44" s="7"/>
      <c r="K44" s="8">
        <v>1</v>
      </c>
      <c r="L44" s="7"/>
      <c r="M44" s="7"/>
      <c r="N44" s="7"/>
      <c r="O44" s="13"/>
      <c r="P44" s="16" t="s">
        <v>137</v>
      </c>
      <c r="Q44" s="1" t="s">
        <v>138</v>
      </c>
      <c r="R44" s="1" t="s">
        <v>6</v>
      </c>
      <c r="S44" s="50" t="s">
        <v>124</v>
      </c>
    </row>
    <row r="45" spans="1:19" ht="13.8" customHeight="1">
      <c r="A45" s="16" t="s">
        <v>134</v>
      </c>
      <c r="B45" s="1" t="s">
        <v>139</v>
      </c>
      <c r="C45" s="1" t="s">
        <v>140</v>
      </c>
      <c r="D45" s="2" t="s">
        <v>34</v>
      </c>
      <c r="E45" s="2" t="s">
        <v>11</v>
      </c>
      <c r="F45" s="2" t="s">
        <v>48</v>
      </c>
      <c r="G45" s="4">
        <v>46314</v>
      </c>
      <c r="H45" s="4">
        <v>46316</v>
      </c>
      <c r="I45" s="5">
        <v>3</v>
      </c>
      <c r="J45" s="7"/>
      <c r="K45" s="8">
        <v>1</v>
      </c>
      <c r="L45" s="7"/>
      <c r="M45" s="7"/>
      <c r="N45" s="7"/>
      <c r="O45" s="13"/>
      <c r="P45" s="16" t="s">
        <v>137</v>
      </c>
      <c r="Q45" s="1" t="s">
        <v>138</v>
      </c>
      <c r="R45" s="1" t="s">
        <v>6</v>
      </c>
      <c r="S45" s="50" t="s">
        <v>124</v>
      </c>
    </row>
    <row r="46" spans="1:19" ht="13.8" customHeight="1">
      <c r="A46" s="16" t="s">
        <v>134</v>
      </c>
      <c r="B46" s="1" t="s">
        <v>141</v>
      </c>
      <c r="C46" s="1" t="s">
        <v>142</v>
      </c>
      <c r="D46" s="2" t="s">
        <v>34</v>
      </c>
      <c r="E46" s="2" t="s">
        <v>11</v>
      </c>
      <c r="F46" s="2" t="s">
        <v>48</v>
      </c>
      <c r="G46" s="4">
        <v>46316</v>
      </c>
      <c r="H46" s="4">
        <v>46317</v>
      </c>
      <c r="I46" s="5">
        <v>2</v>
      </c>
      <c r="J46" s="7"/>
      <c r="K46" s="8">
        <v>1</v>
      </c>
      <c r="L46" s="7"/>
      <c r="M46" s="7"/>
      <c r="N46" s="7"/>
      <c r="O46" s="13"/>
      <c r="P46" s="16" t="s">
        <v>137</v>
      </c>
      <c r="Q46" s="1" t="s">
        <v>138</v>
      </c>
      <c r="R46" s="1" t="s">
        <v>6</v>
      </c>
      <c r="S46" s="50" t="s">
        <v>124</v>
      </c>
    </row>
    <row r="47" spans="1:19" ht="13.8" customHeight="1">
      <c r="A47" s="16" t="s">
        <v>134</v>
      </c>
      <c r="B47" s="1" t="s">
        <v>143</v>
      </c>
      <c r="C47" s="1" t="s">
        <v>144</v>
      </c>
      <c r="D47" s="2" t="s">
        <v>34</v>
      </c>
      <c r="E47" s="2" t="s">
        <v>11</v>
      </c>
      <c r="F47" s="2" t="s">
        <v>54</v>
      </c>
      <c r="G47" s="4">
        <v>46317</v>
      </c>
      <c r="H47" s="4">
        <v>46317</v>
      </c>
      <c r="I47" s="5">
        <v>1</v>
      </c>
      <c r="J47" s="7"/>
      <c r="K47" s="8">
        <v>1</v>
      </c>
      <c r="L47" s="7"/>
      <c r="M47" s="7"/>
      <c r="N47" s="7"/>
      <c r="O47" s="13"/>
      <c r="P47" s="16" t="s">
        <v>137</v>
      </c>
      <c r="Q47" s="1" t="s">
        <v>138</v>
      </c>
      <c r="R47" s="1" t="s">
        <v>6</v>
      </c>
      <c r="S47" s="50" t="s">
        <v>124</v>
      </c>
    </row>
    <row r="48" spans="1:19" ht="13.8" customHeight="1">
      <c r="A48" s="16" t="s">
        <v>134</v>
      </c>
      <c r="B48" s="1" t="s">
        <v>145</v>
      </c>
      <c r="C48" s="1" t="s">
        <v>146</v>
      </c>
      <c r="D48" s="2" t="s">
        <v>34</v>
      </c>
      <c r="E48" s="2" t="s">
        <v>11</v>
      </c>
      <c r="F48" s="2" t="s">
        <v>54</v>
      </c>
      <c r="G48" s="4">
        <v>46317</v>
      </c>
      <c r="H48" s="4">
        <v>46318</v>
      </c>
      <c r="I48" s="5">
        <v>2</v>
      </c>
      <c r="J48" s="7"/>
      <c r="K48" s="8">
        <v>1</v>
      </c>
      <c r="L48" s="7"/>
      <c r="M48" s="7"/>
      <c r="N48" s="7"/>
      <c r="O48" s="13"/>
      <c r="P48" s="16" t="s">
        <v>137</v>
      </c>
      <c r="Q48" s="1" t="s">
        <v>138</v>
      </c>
      <c r="R48" s="1" t="s">
        <v>6</v>
      </c>
      <c r="S48" s="50" t="s">
        <v>124</v>
      </c>
    </row>
    <row r="49" spans="1:19" ht="13.8" customHeight="1">
      <c r="A49" s="16" t="s">
        <v>134</v>
      </c>
      <c r="B49" s="1" t="s">
        <v>147</v>
      </c>
      <c r="C49" s="1" t="s">
        <v>148</v>
      </c>
      <c r="D49" s="2" t="s">
        <v>34</v>
      </c>
      <c r="E49" s="2" t="s">
        <v>11</v>
      </c>
      <c r="F49" s="2" t="s">
        <v>54</v>
      </c>
      <c r="G49" s="4">
        <v>46318</v>
      </c>
      <c r="H49" s="4">
        <v>46318</v>
      </c>
      <c r="I49" s="5">
        <v>1</v>
      </c>
      <c r="J49" s="7"/>
      <c r="K49" s="8">
        <v>1</v>
      </c>
      <c r="L49" s="7"/>
      <c r="M49" s="7"/>
      <c r="N49" s="7"/>
      <c r="O49" s="13"/>
      <c r="P49" s="16" t="s">
        <v>137</v>
      </c>
      <c r="Q49" s="1" t="s">
        <v>138</v>
      </c>
      <c r="R49" s="1" t="s">
        <v>6</v>
      </c>
      <c r="S49" s="50" t="s">
        <v>124</v>
      </c>
    </row>
    <row r="50" spans="1:19" ht="13.8" customHeight="1">
      <c r="A50" s="16" t="s">
        <v>149</v>
      </c>
      <c r="B50" s="1" t="s">
        <v>150</v>
      </c>
      <c r="C50" s="1" t="s">
        <v>151</v>
      </c>
      <c r="D50" s="2" t="s">
        <v>36</v>
      </c>
      <c r="E50" s="2" t="s">
        <v>11</v>
      </c>
      <c r="F50" s="2" t="s">
        <v>48</v>
      </c>
      <c r="G50" s="4">
        <v>46313</v>
      </c>
      <c r="H50" s="4">
        <v>46315</v>
      </c>
      <c r="I50" s="5">
        <v>3</v>
      </c>
      <c r="J50" s="7"/>
      <c r="K50" s="9">
        <v>1</v>
      </c>
      <c r="L50" s="7"/>
      <c r="M50" s="7"/>
      <c r="N50" s="7"/>
      <c r="O50" s="13"/>
      <c r="P50" s="16" t="s">
        <v>152</v>
      </c>
      <c r="Q50" s="1" t="s">
        <v>153</v>
      </c>
      <c r="R50" s="1" t="s">
        <v>6</v>
      </c>
      <c r="S50" s="50" t="s">
        <v>124</v>
      </c>
    </row>
    <row r="51" spans="1:19" ht="13.8" customHeight="1">
      <c r="A51" s="16" t="s">
        <v>149</v>
      </c>
      <c r="B51" s="1" t="s">
        <v>154</v>
      </c>
      <c r="C51" s="1" t="s">
        <v>155</v>
      </c>
      <c r="D51" s="2" t="s">
        <v>36</v>
      </c>
      <c r="E51" s="2" t="s">
        <v>11</v>
      </c>
      <c r="F51" s="2" t="s">
        <v>48</v>
      </c>
      <c r="G51" s="4">
        <v>46315</v>
      </c>
      <c r="H51" s="4">
        <v>46315</v>
      </c>
      <c r="I51" s="5">
        <v>1</v>
      </c>
      <c r="J51" s="7"/>
      <c r="K51" s="9">
        <v>1</v>
      </c>
      <c r="L51" s="7"/>
      <c r="M51" s="7"/>
      <c r="N51" s="7"/>
      <c r="O51" s="13"/>
      <c r="P51" s="16" t="s">
        <v>152</v>
      </c>
      <c r="Q51" s="1" t="s">
        <v>153</v>
      </c>
      <c r="R51" s="1" t="s">
        <v>6</v>
      </c>
      <c r="S51" s="50" t="s">
        <v>124</v>
      </c>
    </row>
    <row r="52" spans="1:19" ht="13.8" customHeight="1">
      <c r="A52" s="16" t="s">
        <v>149</v>
      </c>
      <c r="B52" s="1" t="s">
        <v>156</v>
      </c>
      <c r="C52" s="1" t="s">
        <v>157</v>
      </c>
      <c r="D52" s="2" t="s">
        <v>36</v>
      </c>
      <c r="E52" s="2" t="s">
        <v>11</v>
      </c>
      <c r="F52" s="2" t="s">
        <v>48</v>
      </c>
      <c r="G52" s="4">
        <v>46315</v>
      </c>
      <c r="H52" s="4">
        <v>46316</v>
      </c>
      <c r="I52" s="5">
        <v>2</v>
      </c>
      <c r="J52" s="7"/>
      <c r="K52" s="9">
        <v>1</v>
      </c>
      <c r="L52" s="7"/>
      <c r="M52" s="7"/>
      <c r="N52" s="7"/>
      <c r="O52" s="13"/>
      <c r="P52" s="16" t="s">
        <v>152</v>
      </c>
      <c r="Q52" s="1" t="s">
        <v>153</v>
      </c>
      <c r="R52" s="1" t="s">
        <v>6</v>
      </c>
      <c r="S52" s="50" t="s">
        <v>124</v>
      </c>
    </row>
    <row r="53" spans="1:19" ht="13.8" customHeight="1">
      <c r="A53" s="16" t="s">
        <v>149</v>
      </c>
      <c r="B53" s="1" t="s">
        <v>158</v>
      </c>
      <c r="C53" s="1" t="s">
        <v>159</v>
      </c>
      <c r="D53" s="2" t="s">
        <v>36</v>
      </c>
      <c r="E53" s="2" t="s">
        <v>11</v>
      </c>
      <c r="F53" s="2" t="s">
        <v>48</v>
      </c>
      <c r="G53" s="4">
        <v>46316</v>
      </c>
      <c r="H53" s="4">
        <v>46317</v>
      </c>
      <c r="I53" s="5">
        <v>2</v>
      </c>
      <c r="J53" s="7"/>
      <c r="K53" s="9">
        <v>1</v>
      </c>
      <c r="L53" s="7"/>
      <c r="M53" s="7"/>
      <c r="N53" s="7"/>
      <c r="O53" s="13"/>
      <c r="P53" s="16" t="s">
        <v>152</v>
      </c>
      <c r="Q53" s="1" t="s">
        <v>153</v>
      </c>
      <c r="R53" s="1" t="s">
        <v>6</v>
      </c>
      <c r="S53" s="50" t="s">
        <v>124</v>
      </c>
    </row>
    <row r="54" spans="1:19" ht="13.8" customHeight="1">
      <c r="A54" s="16" t="s">
        <v>149</v>
      </c>
      <c r="B54" s="1" t="s">
        <v>160</v>
      </c>
      <c r="C54" s="1" t="s">
        <v>161</v>
      </c>
      <c r="D54" s="2" t="s">
        <v>36</v>
      </c>
      <c r="E54" s="2" t="s">
        <v>11</v>
      </c>
      <c r="F54" s="2" t="s">
        <v>48</v>
      </c>
      <c r="G54" s="4">
        <v>46317</v>
      </c>
      <c r="H54" s="4">
        <v>46318</v>
      </c>
      <c r="I54" s="5">
        <v>2</v>
      </c>
      <c r="J54" s="7"/>
      <c r="K54" s="9">
        <v>1</v>
      </c>
      <c r="L54" s="7"/>
      <c r="M54" s="7"/>
      <c r="N54" s="7"/>
      <c r="O54" s="13"/>
      <c r="P54" s="16" t="s">
        <v>152</v>
      </c>
      <c r="Q54" s="1" t="s">
        <v>153</v>
      </c>
      <c r="R54" s="1" t="s">
        <v>6</v>
      </c>
      <c r="S54" s="50" t="s">
        <v>124</v>
      </c>
    </row>
    <row r="55" spans="1:19" ht="13.8" customHeight="1">
      <c r="A55" s="16" t="s">
        <v>149</v>
      </c>
      <c r="B55" s="1" t="s">
        <v>162</v>
      </c>
      <c r="C55" s="1" t="s">
        <v>163</v>
      </c>
      <c r="D55" s="2" t="s">
        <v>36</v>
      </c>
      <c r="E55" s="2" t="s">
        <v>11</v>
      </c>
      <c r="F55" s="2" t="s">
        <v>48</v>
      </c>
      <c r="G55" s="4">
        <v>46318</v>
      </c>
      <c r="H55" s="4">
        <v>46319</v>
      </c>
      <c r="I55" s="5">
        <v>2</v>
      </c>
      <c r="J55" s="7"/>
      <c r="K55" s="9">
        <v>1</v>
      </c>
      <c r="L55" s="7"/>
      <c r="M55" s="7"/>
      <c r="N55" s="7"/>
      <c r="O55" s="13"/>
      <c r="P55" s="16" t="s">
        <v>152</v>
      </c>
      <c r="Q55" s="1" t="s">
        <v>153</v>
      </c>
      <c r="R55" s="1" t="s">
        <v>6</v>
      </c>
      <c r="S55" s="50" t="s">
        <v>124</v>
      </c>
    </row>
    <row r="56" spans="1:19" ht="13.8" customHeight="1">
      <c r="A56" s="16" t="s">
        <v>149</v>
      </c>
      <c r="B56" s="1" t="s">
        <v>164</v>
      </c>
      <c r="C56" s="1" t="s">
        <v>165</v>
      </c>
      <c r="D56" s="2" t="s">
        <v>36</v>
      </c>
      <c r="E56" s="2" t="s">
        <v>11</v>
      </c>
      <c r="F56" s="2" t="s">
        <v>54</v>
      </c>
      <c r="G56" s="4">
        <v>46319</v>
      </c>
      <c r="H56" s="4">
        <v>46319</v>
      </c>
      <c r="I56" s="5">
        <v>1</v>
      </c>
      <c r="J56" s="7"/>
      <c r="K56" s="9">
        <v>1</v>
      </c>
      <c r="L56" s="7"/>
      <c r="M56" s="7"/>
      <c r="N56" s="7"/>
      <c r="O56" s="13"/>
      <c r="P56" s="16" t="s">
        <v>152</v>
      </c>
      <c r="Q56" s="1" t="s">
        <v>153</v>
      </c>
      <c r="R56" s="1" t="s">
        <v>6</v>
      </c>
      <c r="S56" s="50" t="s">
        <v>124</v>
      </c>
    </row>
    <row r="57" spans="1:19" ht="13.8" customHeight="1">
      <c r="A57" s="16" t="s">
        <v>149</v>
      </c>
      <c r="B57" s="1" t="s">
        <v>166</v>
      </c>
      <c r="C57" s="1" t="s">
        <v>167</v>
      </c>
      <c r="D57" s="2" t="s">
        <v>36</v>
      </c>
      <c r="E57" s="2" t="s">
        <v>11</v>
      </c>
      <c r="F57" s="2" t="s">
        <v>54</v>
      </c>
      <c r="G57" s="4">
        <v>46319</v>
      </c>
      <c r="H57" s="4">
        <v>46320</v>
      </c>
      <c r="I57" s="5">
        <v>2</v>
      </c>
      <c r="J57" s="7"/>
      <c r="K57" s="9">
        <v>1</v>
      </c>
      <c r="L57" s="9">
        <v>1</v>
      </c>
      <c r="M57" s="7"/>
      <c r="N57" s="7"/>
      <c r="O57" s="13"/>
      <c r="P57" s="16" t="s">
        <v>152</v>
      </c>
      <c r="Q57" s="1" t="s">
        <v>153</v>
      </c>
      <c r="R57" s="1" t="s">
        <v>6</v>
      </c>
      <c r="S57" s="50" t="s">
        <v>124</v>
      </c>
    </row>
    <row r="58" spans="1:19" ht="13.8" customHeight="1">
      <c r="A58" s="16" t="s">
        <v>168</v>
      </c>
      <c r="B58" s="1" t="s">
        <v>169</v>
      </c>
      <c r="C58" s="1" t="s">
        <v>170</v>
      </c>
      <c r="D58" s="2" t="s">
        <v>36</v>
      </c>
      <c r="E58" s="2" t="s">
        <v>11</v>
      </c>
      <c r="F58" s="2" t="s">
        <v>48</v>
      </c>
      <c r="G58" s="4">
        <v>46321</v>
      </c>
      <c r="H58" s="4">
        <v>46321</v>
      </c>
      <c r="I58" s="5">
        <v>1</v>
      </c>
      <c r="J58" s="7"/>
      <c r="K58" s="7"/>
      <c r="L58" s="9">
        <v>1</v>
      </c>
      <c r="M58" s="7"/>
      <c r="N58" s="7"/>
      <c r="O58" s="13"/>
      <c r="P58" s="16" t="s">
        <v>171</v>
      </c>
      <c r="Q58" s="1" t="s">
        <v>172</v>
      </c>
      <c r="R58" s="1" t="s">
        <v>6</v>
      </c>
      <c r="S58" s="50" t="s">
        <v>173</v>
      </c>
    </row>
    <row r="59" spans="1:19" ht="13.8" customHeight="1">
      <c r="A59" s="16" t="s">
        <v>168</v>
      </c>
      <c r="B59" s="1" t="s">
        <v>174</v>
      </c>
      <c r="C59" s="1" t="s">
        <v>175</v>
      </c>
      <c r="D59" s="2" t="s">
        <v>36</v>
      </c>
      <c r="E59" s="2" t="s">
        <v>11</v>
      </c>
      <c r="F59" s="2" t="s">
        <v>48</v>
      </c>
      <c r="G59" s="4">
        <v>46321</v>
      </c>
      <c r="H59" s="4">
        <v>46322</v>
      </c>
      <c r="I59" s="5">
        <v>2</v>
      </c>
      <c r="J59" s="7"/>
      <c r="K59" s="7"/>
      <c r="L59" s="9">
        <v>1</v>
      </c>
      <c r="M59" s="7"/>
      <c r="N59" s="7"/>
      <c r="O59" s="13"/>
      <c r="P59" s="16" t="s">
        <v>171</v>
      </c>
      <c r="Q59" s="1" t="s">
        <v>172</v>
      </c>
      <c r="R59" s="1" t="s">
        <v>6</v>
      </c>
      <c r="S59" s="50" t="s">
        <v>173</v>
      </c>
    </row>
    <row r="60" spans="1:19" ht="13.8" customHeight="1">
      <c r="A60" s="16" t="s">
        <v>168</v>
      </c>
      <c r="B60" s="1" t="s">
        <v>176</v>
      </c>
      <c r="C60" s="1" t="s">
        <v>177</v>
      </c>
      <c r="D60" s="2" t="s">
        <v>36</v>
      </c>
      <c r="E60" s="2" t="s">
        <v>11</v>
      </c>
      <c r="F60" s="2" t="s">
        <v>48</v>
      </c>
      <c r="G60" s="4">
        <v>46322</v>
      </c>
      <c r="H60" s="4">
        <v>46322</v>
      </c>
      <c r="I60" s="5">
        <v>1</v>
      </c>
      <c r="J60" s="7"/>
      <c r="K60" s="7"/>
      <c r="L60" s="9">
        <v>1</v>
      </c>
      <c r="M60" s="7"/>
      <c r="N60" s="7"/>
      <c r="O60" s="13"/>
      <c r="P60" s="16" t="s">
        <v>171</v>
      </c>
      <c r="Q60" s="1" t="s">
        <v>172</v>
      </c>
      <c r="R60" s="1" t="s">
        <v>6</v>
      </c>
      <c r="S60" s="50" t="s">
        <v>173</v>
      </c>
    </row>
    <row r="61" spans="1:19" ht="13.8" customHeight="1">
      <c r="A61" s="16" t="s">
        <v>168</v>
      </c>
      <c r="B61" s="1" t="s">
        <v>178</v>
      </c>
      <c r="C61" s="1" t="s">
        <v>179</v>
      </c>
      <c r="D61" s="2" t="s">
        <v>36</v>
      </c>
      <c r="E61" s="2" t="s">
        <v>11</v>
      </c>
      <c r="F61" s="2" t="s">
        <v>48</v>
      </c>
      <c r="G61" s="4">
        <v>46322</v>
      </c>
      <c r="H61" s="4">
        <v>46323</v>
      </c>
      <c r="I61" s="5">
        <v>2</v>
      </c>
      <c r="J61" s="7"/>
      <c r="K61" s="7"/>
      <c r="L61" s="9">
        <v>1</v>
      </c>
      <c r="M61" s="7"/>
      <c r="N61" s="7"/>
      <c r="O61" s="13"/>
      <c r="P61" s="16" t="s">
        <v>171</v>
      </c>
      <c r="Q61" s="1" t="s">
        <v>172</v>
      </c>
      <c r="R61" s="1" t="s">
        <v>6</v>
      </c>
      <c r="S61" s="50" t="s">
        <v>173</v>
      </c>
    </row>
    <row r="62" spans="1:19" ht="13.8" customHeight="1">
      <c r="A62" s="16" t="s">
        <v>168</v>
      </c>
      <c r="B62" s="1" t="s">
        <v>180</v>
      </c>
      <c r="C62" s="1" t="s">
        <v>181</v>
      </c>
      <c r="D62" s="2" t="s">
        <v>36</v>
      </c>
      <c r="E62" s="2" t="s">
        <v>11</v>
      </c>
      <c r="F62" s="2" t="s">
        <v>48</v>
      </c>
      <c r="G62" s="4">
        <v>46323</v>
      </c>
      <c r="H62" s="4">
        <v>46323</v>
      </c>
      <c r="I62" s="5">
        <v>1</v>
      </c>
      <c r="J62" s="7"/>
      <c r="K62" s="7"/>
      <c r="L62" s="9">
        <v>1</v>
      </c>
      <c r="M62" s="7"/>
      <c r="N62" s="7"/>
      <c r="O62" s="13"/>
      <c r="P62" s="16" t="s">
        <v>171</v>
      </c>
      <c r="Q62" s="1" t="s">
        <v>172</v>
      </c>
      <c r="R62" s="1" t="s">
        <v>6</v>
      </c>
      <c r="S62" s="50" t="s">
        <v>173</v>
      </c>
    </row>
    <row r="63" spans="1:19" ht="13.8" customHeight="1">
      <c r="A63" s="16" t="s">
        <v>168</v>
      </c>
      <c r="B63" s="1" t="s">
        <v>182</v>
      </c>
      <c r="C63" s="1" t="s">
        <v>183</v>
      </c>
      <c r="D63" s="2" t="s">
        <v>36</v>
      </c>
      <c r="E63" s="2" t="s">
        <v>11</v>
      </c>
      <c r="F63" s="2" t="s">
        <v>48</v>
      </c>
      <c r="G63" s="4">
        <v>46323</v>
      </c>
      <c r="H63" s="4">
        <v>46324</v>
      </c>
      <c r="I63" s="5">
        <v>2</v>
      </c>
      <c r="J63" s="7"/>
      <c r="K63" s="7"/>
      <c r="L63" s="9">
        <v>1</v>
      </c>
      <c r="M63" s="7"/>
      <c r="N63" s="7"/>
      <c r="O63" s="13"/>
      <c r="P63" s="16" t="s">
        <v>171</v>
      </c>
      <c r="Q63" s="1" t="s">
        <v>172</v>
      </c>
      <c r="R63" s="1" t="s">
        <v>6</v>
      </c>
      <c r="S63" s="50" t="s">
        <v>173</v>
      </c>
    </row>
    <row r="64" spans="1:19" ht="13.8" customHeight="1">
      <c r="A64" s="16" t="s">
        <v>168</v>
      </c>
      <c r="B64" s="1" t="s">
        <v>184</v>
      </c>
      <c r="C64" s="1" t="s">
        <v>185</v>
      </c>
      <c r="D64" s="2" t="s">
        <v>36</v>
      </c>
      <c r="E64" s="2" t="s">
        <v>11</v>
      </c>
      <c r="F64" s="2" t="s">
        <v>48</v>
      </c>
      <c r="G64" s="4">
        <v>46324</v>
      </c>
      <c r="H64" s="4">
        <v>46324</v>
      </c>
      <c r="I64" s="5">
        <v>1</v>
      </c>
      <c r="J64" s="7"/>
      <c r="K64" s="7"/>
      <c r="L64" s="9">
        <v>1</v>
      </c>
      <c r="M64" s="7"/>
      <c r="N64" s="7"/>
      <c r="O64" s="13"/>
      <c r="P64" s="16" t="s">
        <v>171</v>
      </c>
      <c r="Q64" s="1" t="s">
        <v>172</v>
      </c>
      <c r="R64" s="1" t="s">
        <v>6</v>
      </c>
      <c r="S64" s="50" t="s">
        <v>173</v>
      </c>
    </row>
    <row r="65" spans="1:19" ht="13.8" customHeight="1">
      <c r="A65" s="16" t="s">
        <v>186</v>
      </c>
      <c r="B65" s="1" t="s">
        <v>187</v>
      </c>
      <c r="C65" s="1" t="s">
        <v>188</v>
      </c>
      <c r="D65" s="2" t="s">
        <v>39</v>
      </c>
      <c r="E65" s="2" t="s">
        <v>11</v>
      </c>
      <c r="F65" s="2" t="s">
        <v>48</v>
      </c>
      <c r="G65" s="4">
        <v>46321</v>
      </c>
      <c r="H65" s="4">
        <v>46322</v>
      </c>
      <c r="I65" s="5">
        <v>2</v>
      </c>
      <c r="J65" s="7"/>
      <c r="K65" s="7"/>
      <c r="L65" s="10">
        <v>1</v>
      </c>
      <c r="M65" s="7"/>
      <c r="N65" s="7"/>
      <c r="O65" s="13"/>
      <c r="P65" s="16" t="s">
        <v>189</v>
      </c>
      <c r="Q65" s="1" t="s">
        <v>190</v>
      </c>
      <c r="R65" s="1" t="s">
        <v>6</v>
      </c>
      <c r="S65" s="50" t="s">
        <v>173</v>
      </c>
    </row>
    <row r="66" spans="1:19" ht="13.8" customHeight="1">
      <c r="A66" s="16" t="s">
        <v>186</v>
      </c>
      <c r="B66" s="1" t="s">
        <v>191</v>
      </c>
      <c r="C66" s="1" t="s">
        <v>192</v>
      </c>
      <c r="D66" s="2" t="s">
        <v>39</v>
      </c>
      <c r="E66" s="2" t="s">
        <v>11</v>
      </c>
      <c r="F66" s="2" t="s">
        <v>48</v>
      </c>
      <c r="G66" s="4">
        <v>46322</v>
      </c>
      <c r="H66" s="4">
        <v>46322</v>
      </c>
      <c r="I66" s="5">
        <v>1</v>
      </c>
      <c r="J66" s="7"/>
      <c r="K66" s="7"/>
      <c r="L66" s="10">
        <v>1</v>
      </c>
      <c r="M66" s="7"/>
      <c r="N66" s="7"/>
      <c r="O66" s="13"/>
      <c r="P66" s="16" t="s">
        <v>189</v>
      </c>
      <c r="Q66" s="1" t="s">
        <v>190</v>
      </c>
      <c r="R66" s="1" t="s">
        <v>6</v>
      </c>
      <c r="S66" s="50" t="s">
        <v>173</v>
      </c>
    </row>
    <row r="67" spans="1:19" ht="13.8" customHeight="1">
      <c r="A67" s="16" t="s">
        <v>186</v>
      </c>
      <c r="B67" s="1" t="s">
        <v>193</v>
      </c>
      <c r="C67" s="1" t="s">
        <v>194</v>
      </c>
      <c r="D67" s="2" t="s">
        <v>39</v>
      </c>
      <c r="E67" s="2" t="s">
        <v>11</v>
      </c>
      <c r="F67" s="2" t="s">
        <v>48</v>
      </c>
      <c r="G67" s="4">
        <v>46322</v>
      </c>
      <c r="H67" s="4">
        <v>46323</v>
      </c>
      <c r="I67" s="5">
        <v>2</v>
      </c>
      <c r="J67" s="7"/>
      <c r="K67" s="7"/>
      <c r="L67" s="10">
        <v>1</v>
      </c>
      <c r="M67" s="7"/>
      <c r="N67" s="7"/>
      <c r="O67" s="13"/>
      <c r="P67" s="16" t="s">
        <v>189</v>
      </c>
      <c r="Q67" s="1" t="s">
        <v>190</v>
      </c>
      <c r="R67" s="1" t="s">
        <v>6</v>
      </c>
      <c r="S67" s="50" t="s">
        <v>173</v>
      </c>
    </row>
    <row r="68" spans="1:19" ht="13.8" customHeight="1">
      <c r="A68" s="16" t="s">
        <v>186</v>
      </c>
      <c r="B68" s="1" t="s">
        <v>195</v>
      </c>
      <c r="C68" s="1" t="s">
        <v>196</v>
      </c>
      <c r="D68" s="2" t="s">
        <v>39</v>
      </c>
      <c r="E68" s="2" t="s">
        <v>11</v>
      </c>
      <c r="F68" s="2" t="s">
        <v>54</v>
      </c>
      <c r="G68" s="4">
        <v>46323</v>
      </c>
      <c r="H68" s="4">
        <v>46324</v>
      </c>
      <c r="I68" s="5">
        <v>2</v>
      </c>
      <c r="J68" s="7"/>
      <c r="K68" s="7"/>
      <c r="L68" s="10">
        <v>1</v>
      </c>
      <c r="M68" s="7"/>
      <c r="N68" s="7"/>
      <c r="O68" s="13"/>
      <c r="P68" s="16" t="s">
        <v>189</v>
      </c>
      <c r="Q68" s="1" t="s">
        <v>190</v>
      </c>
      <c r="R68" s="1" t="s">
        <v>6</v>
      </c>
      <c r="S68" s="50" t="s">
        <v>173</v>
      </c>
    </row>
    <row r="69" spans="1:19" ht="13.8" customHeight="1">
      <c r="A69" s="16" t="s">
        <v>186</v>
      </c>
      <c r="B69" s="1" t="s">
        <v>197</v>
      </c>
      <c r="C69" s="1" t="s">
        <v>198</v>
      </c>
      <c r="D69" s="2" t="s">
        <v>39</v>
      </c>
      <c r="E69" s="2" t="s">
        <v>11</v>
      </c>
      <c r="F69" s="2" t="s">
        <v>133</v>
      </c>
      <c r="G69" s="4">
        <v>46324</v>
      </c>
      <c r="H69" s="4">
        <v>46325</v>
      </c>
      <c r="I69" s="5">
        <v>2</v>
      </c>
      <c r="J69" s="7"/>
      <c r="K69" s="7"/>
      <c r="L69" s="10">
        <v>1</v>
      </c>
      <c r="M69" s="7"/>
      <c r="N69" s="7"/>
      <c r="O69" s="13"/>
      <c r="P69" s="16" t="s">
        <v>189</v>
      </c>
      <c r="Q69" s="1" t="s">
        <v>190</v>
      </c>
      <c r="R69" s="1" t="s">
        <v>6</v>
      </c>
      <c r="S69" s="50" t="s">
        <v>173</v>
      </c>
    </row>
    <row r="70" spans="1:19" ht="13.8" customHeight="1">
      <c r="A70" s="16" t="s">
        <v>199</v>
      </c>
      <c r="B70" s="1" t="s">
        <v>200</v>
      </c>
      <c r="C70" s="1" t="s">
        <v>201</v>
      </c>
      <c r="D70" s="2" t="s">
        <v>39</v>
      </c>
      <c r="E70" s="2" t="s">
        <v>11</v>
      </c>
      <c r="F70" s="2" t="s">
        <v>54</v>
      </c>
      <c r="G70" s="4">
        <v>46321</v>
      </c>
      <c r="H70" s="4">
        <v>46322</v>
      </c>
      <c r="I70" s="5">
        <v>2</v>
      </c>
      <c r="J70" s="7"/>
      <c r="K70" s="7"/>
      <c r="L70" s="6">
        <v>1</v>
      </c>
      <c r="M70" s="7"/>
      <c r="N70" s="7"/>
      <c r="O70" s="13"/>
      <c r="P70" s="16" t="s">
        <v>202</v>
      </c>
      <c r="Q70" s="1" t="s">
        <v>203</v>
      </c>
      <c r="R70" s="1" t="s">
        <v>6</v>
      </c>
      <c r="S70" s="50" t="s">
        <v>173</v>
      </c>
    </row>
    <row r="71" spans="1:19" ht="13.8" customHeight="1">
      <c r="A71" s="16" t="s">
        <v>199</v>
      </c>
      <c r="B71" s="1" t="s">
        <v>204</v>
      </c>
      <c r="C71" s="1" t="s">
        <v>205</v>
      </c>
      <c r="D71" s="2" t="s">
        <v>34</v>
      </c>
      <c r="E71" s="2" t="s">
        <v>11</v>
      </c>
      <c r="F71" s="2" t="s">
        <v>54</v>
      </c>
      <c r="G71" s="4">
        <v>46322</v>
      </c>
      <c r="H71" s="4">
        <v>46323</v>
      </c>
      <c r="I71" s="5">
        <v>2</v>
      </c>
      <c r="J71" s="7"/>
      <c r="K71" s="7"/>
      <c r="L71" s="6">
        <v>1</v>
      </c>
      <c r="M71" s="7"/>
      <c r="N71" s="7"/>
      <c r="O71" s="13"/>
      <c r="P71" s="16" t="s">
        <v>202</v>
      </c>
      <c r="Q71" s="1" t="s">
        <v>203</v>
      </c>
      <c r="R71" s="1" t="s">
        <v>6</v>
      </c>
      <c r="S71" s="50" t="s">
        <v>173</v>
      </c>
    </row>
    <row r="72" spans="1:19" ht="13.8" customHeight="1">
      <c r="A72" s="16" t="s">
        <v>199</v>
      </c>
      <c r="B72" s="1" t="s">
        <v>206</v>
      </c>
      <c r="C72" s="1" t="s">
        <v>207</v>
      </c>
      <c r="D72" s="2" t="s">
        <v>36</v>
      </c>
      <c r="E72" s="2" t="s">
        <v>11</v>
      </c>
      <c r="F72" s="2" t="s">
        <v>54</v>
      </c>
      <c r="G72" s="4">
        <v>46323</v>
      </c>
      <c r="H72" s="4">
        <v>46324</v>
      </c>
      <c r="I72" s="5">
        <v>2</v>
      </c>
      <c r="J72" s="7"/>
      <c r="K72" s="7"/>
      <c r="L72" s="6">
        <v>1</v>
      </c>
      <c r="M72" s="7"/>
      <c r="N72" s="7"/>
      <c r="O72" s="13"/>
      <c r="P72" s="16" t="s">
        <v>202</v>
      </c>
      <c r="Q72" s="1" t="s">
        <v>203</v>
      </c>
      <c r="R72" s="1" t="s">
        <v>6</v>
      </c>
      <c r="S72" s="50" t="s">
        <v>173</v>
      </c>
    </row>
    <row r="73" spans="1:19" ht="13.8" customHeight="1">
      <c r="A73" s="16" t="s">
        <v>199</v>
      </c>
      <c r="B73" s="1" t="s">
        <v>208</v>
      </c>
      <c r="C73" s="1" t="s">
        <v>209</v>
      </c>
      <c r="D73" s="2" t="s">
        <v>39</v>
      </c>
      <c r="E73" s="2" t="s">
        <v>11</v>
      </c>
      <c r="F73" s="2" t="s">
        <v>54</v>
      </c>
      <c r="G73" s="4">
        <v>46324</v>
      </c>
      <c r="H73" s="4">
        <v>46325</v>
      </c>
      <c r="I73" s="5">
        <v>2</v>
      </c>
      <c r="J73" s="7"/>
      <c r="K73" s="7"/>
      <c r="L73" s="6">
        <v>1</v>
      </c>
      <c r="M73" s="7"/>
      <c r="N73" s="7"/>
      <c r="O73" s="13"/>
      <c r="P73" s="16" t="s">
        <v>202</v>
      </c>
      <c r="Q73" s="1" t="s">
        <v>203</v>
      </c>
      <c r="R73" s="1" t="s">
        <v>6</v>
      </c>
      <c r="S73" s="50" t="s">
        <v>173</v>
      </c>
    </row>
    <row r="74" spans="1:19" ht="13.8" customHeight="1">
      <c r="A74" s="16" t="s">
        <v>199</v>
      </c>
      <c r="B74" s="1" t="s">
        <v>210</v>
      </c>
      <c r="C74" s="1" t="s">
        <v>211</v>
      </c>
      <c r="D74" s="2" t="s">
        <v>39</v>
      </c>
      <c r="E74" s="2" t="s">
        <v>11</v>
      </c>
      <c r="F74" s="2" t="s">
        <v>133</v>
      </c>
      <c r="G74" s="4">
        <v>46325</v>
      </c>
      <c r="H74" s="4">
        <v>46326</v>
      </c>
      <c r="I74" s="5">
        <v>2</v>
      </c>
      <c r="J74" s="7"/>
      <c r="K74" s="7"/>
      <c r="L74" s="10">
        <v>1</v>
      </c>
      <c r="M74" s="7"/>
      <c r="N74" s="7"/>
      <c r="O74" s="13"/>
      <c r="P74" s="16" t="s">
        <v>202</v>
      </c>
      <c r="Q74" s="1" t="s">
        <v>203</v>
      </c>
      <c r="R74" s="1" t="s">
        <v>6</v>
      </c>
      <c r="S74" s="50" t="s">
        <v>173</v>
      </c>
    </row>
    <row r="75" spans="1:19" ht="13.8" customHeight="1">
      <c r="A75" s="16" t="s">
        <v>109</v>
      </c>
      <c r="B75" s="1" t="s">
        <v>212</v>
      </c>
      <c r="C75" s="1" t="s">
        <v>213</v>
      </c>
      <c r="D75" s="2" t="s">
        <v>39</v>
      </c>
      <c r="E75" s="2" t="s">
        <v>11</v>
      </c>
      <c r="F75" s="2" t="s">
        <v>54</v>
      </c>
      <c r="G75" s="4">
        <v>46327</v>
      </c>
      <c r="H75" s="4">
        <v>46328</v>
      </c>
      <c r="I75" s="5">
        <v>2</v>
      </c>
      <c r="J75" s="7"/>
      <c r="K75" s="7"/>
      <c r="L75" s="7"/>
      <c r="M75" s="10">
        <v>1</v>
      </c>
      <c r="N75" s="7"/>
      <c r="O75" s="13"/>
      <c r="P75" s="16" t="s">
        <v>112</v>
      </c>
      <c r="Q75" s="1" t="s">
        <v>113</v>
      </c>
      <c r="R75" s="1" t="s">
        <v>6</v>
      </c>
      <c r="S75" s="50" t="s">
        <v>114</v>
      </c>
    </row>
    <row r="76" spans="1:19" ht="13.8" customHeight="1">
      <c r="A76" s="16" t="s">
        <v>109</v>
      </c>
      <c r="B76" s="1" t="s">
        <v>214</v>
      </c>
      <c r="C76" s="1" t="s">
        <v>215</v>
      </c>
      <c r="D76" s="2" t="s">
        <v>39</v>
      </c>
      <c r="E76" s="2" t="s">
        <v>11</v>
      </c>
      <c r="F76" s="2" t="s">
        <v>54</v>
      </c>
      <c r="G76" s="4">
        <v>46327</v>
      </c>
      <c r="H76" s="4">
        <v>46329</v>
      </c>
      <c r="I76" s="5">
        <v>3</v>
      </c>
      <c r="J76" s="7"/>
      <c r="K76" s="7"/>
      <c r="L76" s="7"/>
      <c r="M76" s="10">
        <v>1</v>
      </c>
      <c r="N76" s="7"/>
      <c r="O76" s="13"/>
      <c r="P76" s="16" t="s">
        <v>112</v>
      </c>
      <c r="Q76" s="1" t="s">
        <v>113</v>
      </c>
      <c r="R76" s="1" t="s">
        <v>6</v>
      </c>
      <c r="S76" s="50" t="s">
        <v>114</v>
      </c>
    </row>
    <row r="77" spans="1:19" ht="13.8" customHeight="1">
      <c r="A77" s="16" t="s">
        <v>109</v>
      </c>
      <c r="B77" s="1" t="s">
        <v>216</v>
      </c>
      <c r="C77" s="1" t="s">
        <v>217</v>
      </c>
      <c r="D77" s="2" t="s">
        <v>34</v>
      </c>
      <c r="E77" s="2" t="s">
        <v>11</v>
      </c>
      <c r="F77" s="2" t="s">
        <v>54</v>
      </c>
      <c r="G77" s="4">
        <v>46328</v>
      </c>
      <c r="H77" s="4">
        <v>46329</v>
      </c>
      <c r="I77" s="5">
        <v>2</v>
      </c>
      <c r="J77" s="7"/>
      <c r="K77" s="7"/>
      <c r="L77" s="7"/>
      <c r="M77" s="8">
        <v>1</v>
      </c>
      <c r="N77" s="7"/>
      <c r="O77" s="13"/>
      <c r="P77" s="16" t="s">
        <v>112</v>
      </c>
      <c r="Q77" s="1" t="s">
        <v>113</v>
      </c>
      <c r="R77" s="1" t="s">
        <v>6</v>
      </c>
      <c r="S77" s="50" t="s">
        <v>114</v>
      </c>
    </row>
    <row r="78" spans="1:19" ht="13.8" customHeight="1">
      <c r="A78" s="16" t="s">
        <v>109</v>
      </c>
      <c r="B78" s="1" t="s">
        <v>218</v>
      </c>
      <c r="C78" s="1" t="s">
        <v>219</v>
      </c>
      <c r="D78" s="2" t="s">
        <v>39</v>
      </c>
      <c r="E78" s="2" t="s">
        <v>11</v>
      </c>
      <c r="F78" s="2" t="s">
        <v>54</v>
      </c>
      <c r="G78" s="4">
        <v>46328</v>
      </c>
      <c r="H78" s="4">
        <v>46329</v>
      </c>
      <c r="I78" s="5">
        <v>2</v>
      </c>
      <c r="J78" s="7"/>
      <c r="K78" s="7"/>
      <c r="L78" s="7"/>
      <c r="M78" s="10">
        <v>1</v>
      </c>
      <c r="N78" s="7"/>
      <c r="O78" s="13"/>
      <c r="P78" s="16" t="s">
        <v>112</v>
      </c>
      <c r="Q78" s="1" t="s">
        <v>113</v>
      </c>
      <c r="R78" s="1" t="s">
        <v>6</v>
      </c>
      <c r="S78" s="50" t="s">
        <v>114</v>
      </c>
    </row>
    <row r="79" spans="1:19" ht="13.8" customHeight="1">
      <c r="A79" s="16" t="s">
        <v>220</v>
      </c>
      <c r="B79" s="1" t="s">
        <v>221</v>
      </c>
      <c r="C79" s="1" t="s">
        <v>222</v>
      </c>
      <c r="D79" s="2" t="s">
        <v>34</v>
      </c>
      <c r="E79" s="2" t="s">
        <v>11</v>
      </c>
      <c r="F79" s="2" t="s">
        <v>54</v>
      </c>
      <c r="G79" s="4">
        <v>46330</v>
      </c>
      <c r="H79" s="4">
        <v>46330</v>
      </c>
      <c r="I79" s="5">
        <v>1</v>
      </c>
      <c r="J79" s="7"/>
      <c r="K79" s="7"/>
      <c r="L79" s="7"/>
      <c r="M79" s="8">
        <v>1</v>
      </c>
      <c r="N79" s="7"/>
      <c r="O79" s="13"/>
      <c r="P79" s="16" t="s">
        <v>223</v>
      </c>
      <c r="Q79" s="1" t="s">
        <v>224</v>
      </c>
      <c r="R79" s="1" t="s">
        <v>6</v>
      </c>
      <c r="S79" s="50" t="s">
        <v>225</v>
      </c>
    </row>
    <row r="80" spans="1:19" ht="13.8" customHeight="1">
      <c r="A80" s="16" t="s">
        <v>220</v>
      </c>
      <c r="B80" s="1" t="s">
        <v>226</v>
      </c>
      <c r="C80" s="1" t="s">
        <v>227</v>
      </c>
      <c r="D80" s="2" t="s">
        <v>34</v>
      </c>
      <c r="E80" s="2" t="s">
        <v>11</v>
      </c>
      <c r="F80" s="2" t="s">
        <v>54</v>
      </c>
      <c r="G80" s="4">
        <v>46330</v>
      </c>
      <c r="H80" s="4">
        <v>46330</v>
      </c>
      <c r="I80" s="5">
        <v>1</v>
      </c>
      <c r="J80" s="7"/>
      <c r="K80" s="7"/>
      <c r="L80" s="7"/>
      <c r="M80" s="8">
        <v>1</v>
      </c>
      <c r="N80" s="7"/>
      <c r="O80" s="13"/>
      <c r="P80" s="16" t="s">
        <v>223</v>
      </c>
      <c r="Q80" s="1" t="s">
        <v>224</v>
      </c>
      <c r="R80" s="1" t="s">
        <v>6</v>
      </c>
      <c r="S80" s="50" t="s">
        <v>225</v>
      </c>
    </row>
    <row r="81" spans="1:19" ht="13.8" customHeight="1">
      <c r="A81" s="16" t="s">
        <v>220</v>
      </c>
      <c r="B81" s="1" t="s">
        <v>228</v>
      </c>
      <c r="C81" s="1" t="s">
        <v>229</v>
      </c>
      <c r="D81" s="2" t="s">
        <v>36</v>
      </c>
      <c r="E81" s="2" t="s">
        <v>11</v>
      </c>
      <c r="F81" s="2" t="s">
        <v>48</v>
      </c>
      <c r="G81" s="4">
        <v>46330</v>
      </c>
      <c r="H81" s="4">
        <v>46331</v>
      </c>
      <c r="I81" s="5">
        <v>2</v>
      </c>
      <c r="J81" s="7"/>
      <c r="K81" s="7"/>
      <c r="L81" s="7"/>
      <c r="M81" s="9">
        <v>1</v>
      </c>
      <c r="N81" s="7"/>
      <c r="O81" s="13"/>
      <c r="P81" s="16" t="s">
        <v>223</v>
      </c>
      <c r="Q81" s="1" t="s">
        <v>224</v>
      </c>
      <c r="R81" s="1" t="s">
        <v>6</v>
      </c>
      <c r="S81" s="50" t="s">
        <v>225</v>
      </c>
    </row>
    <row r="82" spans="1:19" ht="13.8" customHeight="1">
      <c r="A82" s="16" t="s">
        <v>220</v>
      </c>
      <c r="B82" s="1" t="s">
        <v>230</v>
      </c>
      <c r="C82" s="1" t="s">
        <v>231</v>
      </c>
      <c r="D82" s="2" t="s">
        <v>36</v>
      </c>
      <c r="E82" s="2" t="s">
        <v>11</v>
      </c>
      <c r="F82" s="2" t="s">
        <v>48</v>
      </c>
      <c r="G82" s="4">
        <v>46331</v>
      </c>
      <c r="H82" s="4">
        <v>46331</v>
      </c>
      <c r="I82" s="5">
        <v>1</v>
      </c>
      <c r="J82" s="7"/>
      <c r="K82" s="7"/>
      <c r="L82" s="7"/>
      <c r="M82" s="9">
        <v>1</v>
      </c>
      <c r="N82" s="7"/>
      <c r="O82" s="13"/>
      <c r="P82" s="16" t="s">
        <v>223</v>
      </c>
      <c r="Q82" s="1" t="s">
        <v>224</v>
      </c>
      <c r="R82" s="1" t="s">
        <v>6</v>
      </c>
      <c r="S82" s="50" t="s">
        <v>225</v>
      </c>
    </row>
    <row r="83" spans="1:19" ht="13.8" customHeight="1">
      <c r="A83" s="16" t="s">
        <v>220</v>
      </c>
      <c r="B83" s="1" t="s">
        <v>232</v>
      </c>
      <c r="C83" s="1" t="s">
        <v>233</v>
      </c>
      <c r="D83" s="2" t="s">
        <v>39</v>
      </c>
      <c r="E83" s="2" t="s">
        <v>11</v>
      </c>
      <c r="F83" s="2" t="s">
        <v>48</v>
      </c>
      <c r="G83" s="4">
        <v>46331</v>
      </c>
      <c r="H83" s="4">
        <v>46332</v>
      </c>
      <c r="I83" s="5">
        <v>2</v>
      </c>
      <c r="J83" s="7"/>
      <c r="K83" s="7"/>
      <c r="L83" s="7"/>
      <c r="M83" s="10">
        <v>1</v>
      </c>
      <c r="N83" s="7"/>
      <c r="O83" s="13"/>
      <c r="P83" s="16" t="s">
        <v>223</v>
      </c>
      <c r="Q83" s="1" t="s">
        <v>224</v>
      </c>
      <c r="R83" s="1" t="s">
        <v>6</v>
      </c>
      <c r="S83" s="50" t="s">
        <v>225</v>
      </c>
    </row>
    <row r="84" spans="1:19" ht="13.8" customHeight="1">
      <c r="A84" s="16" t="s">
        <v>220</v>
      </c>
      <c r="B84" s="1" t="s">
        <v>234</v>
      </c>
      <c r="C84" s="1" t="s">
        <v>235</v>
      </c>
      <c r="D84" s="2" t="s">
        <v>6</v>
      </c>
      <c r="E84" s="2" t="s">
        <v>11</v>
      </c>
      <c r="F84" s="2" t="s">
        <v>48</v>
      </c>
      <c r="G84" s="4">
        <v>46332</v>
      </c>
      <c r="H84" s="4">
        <v>46334</v>
      </c>
      <c r="I84" s="5">
        <v>3</v>
      </c>
      <c r="J84" s="7"/>
      <c r="K84" s="7"/>
      <c r="L84" s="7"/>
      <c r="M84" s="6">
        <v>1</v>
      </c>
      <c r="N84" s="6">
        <v>1</v>
      </c>
      <c r="O84" s="13"/>
      <c r="P84" s="16" t="s">
        <v>223</v>
      </c>
      <c r="Q84" s="1" t="s">
        <v>224</v>
      </c>
      <c r="R84" s="1" t="s">
        <v>39</v>
      </c>
      <c r="S84" s="50" t="s">
        <v>225</v>
      </c>
    </row>
    <row r="85" spans="1:19" ht="13.8" customHeight="1">
      <c r="A85" s="16" t="s">
        <v>220</v>
      </c>
      <c r="B85" s="1" t="s">
        <v>236</v>
      </c>
      <c r="C85" s="1" t="s">
        <v>237</v>
      </c>
      <c r="D85" s="2" t="s">
        <v>6</v>
      </c>
      <c r="E85" s="2" t="s">
        <v>11</v>
      </c>
      <c r="F85" s="2" t="s">
        <v>48</v>
      </c>
      <c r="G85" s="4">
        <v>46334</v>
      </c>
      <c r="H85" s="4">
        <v>46336</v>
      </c>
      <c r="I85" s="5">
        <v>3</v>
      </c>
      <c r="J85" s="7"/>
      <c r="K85" s="7"/>
      <c r="L85" s="7"/>
      <c r="M85" s="7"/>
      <c r="N85" s="6">
        <v>1</v>
      </c>
      <c r="O85" s="13"/>
      <c r="P85" s="16" t="s">
        <v>223</v>
      </c>
      <c r="Q85" s="1" t="s">
        <v>224</v>
      </c>
      <c r="R85" s="1" t="s">
        <v>39</v>
      </c>
      <c r="S85" s="50" t="s">
        <v>225</v>
      </c>
    </row>
    <row r="86" spans="1:19" ht="13.8" customHeight="1">
      <c r="A86" s="16" t="s">
        <v>220</v>
      </c>
      <c r="B86" s="1" t="s">
        <v>238</v>
      </c>
      <c r="C86" s="1" t="s">
        <v>239</v>
      </c>
      <c r="D86" s="2" t="s">
        <v>6</v>
      </c>
      <c r="E86" s="2" t="s">
        <v>11</v>
      </c>
      <c r="F86" s="2" t="s">
        <v>48</v>
      </c>
      <c r="G86" s="4">
        <v>46336</v>
      </c>
      <c r="H86" s="4">
        <v>46336</v>
      </c>
      <c r="I86" s="5">
        <v>1</v>
      </c>
      <c r="J86" s="7"/>
      <c r="K86" s="7"/>
      <c r="L86" s="7"/>
      <c r="M86" s="7"/>
      <c r="N86" s="6">
        <v>1</v>
      </c>
      <c r="O86" s="13"/>
      <c r="P86" s="16" t="s">
        <v>223</v>
      </c>
      <c r="Q86" s="1" t="s">
        <v>224</v>
      </c>
      <c r="R86" s="1" t="s">
        <v>39</v>
      </c>
      <c r="S86" s="50" t="s">
        <v>225</v>
      </c>
    </row>
    <row r="87" spans="1:19" ht="13.8" customHeight="1">
      <c r="A87" s="16" t="s">
        <v>240</v>
      </c>
      <c r="B87" s="1" t="s">
        <v>241</v>
      </c>
      <c r="C87" s="1" t="s">
        <v>242</v>
      </c>
      <c r="D87" s="2" t="s">
        <v>39</v>
      </c>
      <c r="E87" s="2" t="s">
        <v>11</v>
      </c>
      <c r="F87" s="2" t="s">
        <v>54</v>
      </c>
      <c r="G87" s="4">
        <v>46334</v>
      </c>
      <c r="H87" s="4">
        <v>46336</v>
      </c>
      <c r="I87" s="5">
        <v>3</v>
      </c>
      <c r="J87" s="7"/>
      <c r="K87" s="7"/>
      <c r="L87" s="7"/>
      <c r="M87" s="7"/>
      <c r="N87" s="6">
        <v>1</v>
      </c>
      <c r="O87" s="13"/>
      <c r="P87" s="16" t="s">
        <v>243</v>
      </c>
      <c r="Q87" s="1" t="s">
        <v>244</v>
      </c>
      <c r="R87" s="1" t="s">
        <v>6</v>
      </c>
      <c r="S87" s="50" t="s">
        <v>245</v>
      </c>
    </row>
    <row r="88" spans="1:19" ht="13.8" customHeight="1">
      <c r="A88" s="16" t="s">
        <v>240</v>
      </c>
      <c r="B88" s="1" t="s">
        <v>246</v>
      </c>
      <c r="C88" s="1" t="s">
        <v>247</v>
      </c>
      <c r="D88" s="2" t="s">
        <v>39</v>
      </c>
      <c r="E88" s="2" t="s">
        <v>11</v>
      </c>
      <c r="F88" s="2" t="s">
        <v>54</v>
      </c>
      <c r="G88" s="4">
        <v>46334</v>
      </c>
      <c r="H88" s="4">
        <v>46336</v>
      </c>
      <c r="I88" s="5">
        <v>3</v>
      </c>
      <c r="J88" s="7"/>
      <c r="K88" s="7"/>
      <c r="L88" s="7"/>
      <c r="M88" s="7"/>
      <c r="N88" s="6">
        <v>1</v>
      </c>
      <c r="O88" s="13"/>
      <c r="P88" s="16" t="s">
        <v>243</v>
      </c>
      <c r="Q88" s="1" t="s">
        <v>244</v>
      </c>
      <c r="R88" s="1" t="s">
        <v>6</v>
      </c>
      <c r="S88" s="50" t="s">
        <v>245</v>
      </c>
    </row>
    <row r="89" spans="1:19" ht="13.8" customHeight="1">
      <c r="A89" s="16" t="s">
        <v>240</v>
      </c>
      <c r="B89" s="1" t="s">
        <v>248</v>
      </c>
      <c r="C89" s="1" t="s">
        <v>249</v>
      </c>
      <c r="D89" s="2" t="s">
        <v>6</v>
      </c>
      <c r="E89" s="2" t="s">
        <v>11</v>
      </c>
      <c r="F89" s="2" t="s">
        <v>48</v>
      </c>
      <c r="G89" s="4">
        <v>46336</v>
      </c>
      <c r="H89" s="4">
        <v>46338</v>
      </c>
      <c r="I89" s="5">
        <v>3</v>
      </c>
      <c r="J89" s="7"/>
      <c r="K89" s="7"/>
      <c r="L89" s="7"/>
      <c r="M89" s="7"/>
      <c r="N89" s="6">
        <v>1</v>
      </c>
      <c r="O89" s="13"/>
      <c r="P89" s="16" t="s">
        <v>243</v>
      </c>
      <c r="Q89" s="1" t="s">
        <v>244</v>
      </c>
      <c r="R89" s="1" t="s">
        <v>39</v>
      </c>
      <c r="S89" s="50" t="s">
        <v>245</v>
      </c>
    </row>
    <row r="90" spans="1:19" ht="13.8" customHeight="1">
      <c r="A90" s="16" t="s">
        <v>250</v>
      </c>
      <c r="B90" s="1" t="s">
        <v>251</v>
      </c>
      <c r="C90" s="1" t="s">
        <v>252</v>
      </c>
      <c r="D90" s="2" t="s">
        <v>6</v>
      </c>
      <c r="E90" s="2" t="s">
        <v>11</v>
      </c>
      <c r="F90" s="2" t="s">
        <v>48</v>
      </c>
      <c r="G90" s="4">
        <v>46337</v>
      </c>
      <c r="H90" s="4">
        <v>46337</v>
      </c>
      <c r="I90" s="5">
        <v>1</v>
      </c>
      <c r="J90" s="7"/>
      <c r="K90" s="7"/>
      <c r="L90" s="7"/>
      <c r="M90" s="7"/>
      <c r="N90" s="6">
        <v>1</v>
      </c>
      <c r="O90" s="13"/>
      <c r="P90" s="16" t="s">
        <v>253</v>
      </c>
      <c r="Q90" s="1" t="s">
        <v>254</v>
      </c>
      <c r="R90" s="1" t="s">
        <v>39</v>
      </c>
      <c r="S90" s="50" t="s">
        <v>245</v>
      </c>
    </row>
    <row r="91" spans="1:19" ht="13.8" customHeight="1">
      <c r="A91" s="16" t="s">
        <v>250</v>
      </c>
      <c r="B91" s="1" t="s">
        <v>255</v>
      </c>
      <c r="C91" s="1" t="s">
        <v>256</v>
      </c>
      <c r="D91" s="2" t="s">
        <v>39</v>
      </c>
      <c r="E91" s="2" t="s">
        <v>11</v>
      </c>
      <c r="F91" s="2" t="s">
        <v>48</v>
      </c>
      <c r="G91" s="4">
        <v>46337</v>
      </c>
      <c r="H91" s="4">
        <v>46339</v>
      </c>
      <c r="I91" s="5">
        <v>3</v>
      </c>
      <c r="J91" s="7"/>
      <c r="K91" s="7"/>
      <c r="L91" s="7"/>
      <c r="M91" s="7"/>
      <c r="N91" s="10">
        <v>1</v>
      </c>
      <c r="O91" s="13"/>
      <c r="P91" s="16" t="s">
        <v>253</v>
      </c>
      <c r="Q91" s="1" t="s">
        <v>254</v>
      </c>
      <c r="R91" s="1" t="s">
        <v>6</v>
      </c>
      <c r="S91" s="50" t="s">
        <v>245</v>
      </c>
    </row>
    <row r="92" spans="1:19" ht="13.8" customHeight="1">
      <c r="A92" s="16" t="s">
        <v>250</v>
      </c>
      <c r="B92" s="1" t="s">
        <v>257</v>
      </c>
      <c r="C92" s="1" t="s">
        <v>258</v>
      </c>
      <c r="D92" s="2" t="s">
        <v>6</v>
      </c>
      <c r="E92" s="2" t="s">
        <v>11</v>
      </c>
      <c r="F92" s="2" t="s">
        <v>48</v>
      </c>
      <c r="G92" s="4">
        <v>46338</v>
      </c>
      <c r="H92" s="4">
        <v>46339</v>
      </c>
      <c r="I92" s="5">
        <v>2</v>
      </c>
      <c r="J92" s="7"/>
      <c r="K92" s="7"/>
      <c r="L92" s="7"/>
      <c r="M92" s="7"/>
      <c r="N92" s="6">
        <v>1</v>
      </c>
      <c r="O92" s="13"/>
      <c r="P92" s="16" t="s">
        <v>253</v>
      </c>
      <c r="Q92" s="1" t="s">
        <v>254</v>
      </c>
      <c r="R92" s="1" t="s">
        <v>39</v>
      </c>
      <c r="S92" s="50" t="s">
        <v>245</v>
      </c>
    </row>
    <row r="93" spans="1:19" ht="13.8" customHeight="1">
      <c r="A93" s="16" t="s">
        <v>250</v>
      </c>
      <c r="B93" s="1" t="s">
        <v>259</v>
      </c>
      <c r="C93" s="1" t="s">
        <v>260</v>
      </c>
      <c r="D93" s="2" t="s">
        <v>6</v>
      </c>
      <c r="E93" s="2" t="s">
        <v>11</v>
      </c>
      <c r="F93" s="2" t="s">
        <v>48</v>
      </c>
      <c r="G93" s="4">
        <v>46340</v>
      </c>
      <c r="H93" s="4">
        <v>46340</v>
      </c>
      <c r="I93" s="5">
        <v>1</v>
      </c>
      <c r="J93" s="7"/>
      <c r="K93" s="7"/>
      <c r="L93" s="7"/>
      <c r="M93" s="7"/>
      <c r="N93" s="6">
        <v>1</v>
      </c>
      <c r="O93" s="13"/>
      <c r="P93" s="16" t="s">
        <v>253</v>
      </c>
      <c r="Q93" s="1" t="s">
        <v>254</v>
      </c>
      <c r="R93" s="1" t="s">
        <v>39</v>
      </c>
      <c r="S93" s="50" t="s">
        <v>245</v>
      </c>
    </row>
    <row r="94" spans="1:19" ht="13.8" customHeight="1">
      <c r="A94" s="18" t="s">
        <v>17</v>
      </c>
      <c r="B94" s="19" t="s">
        <v>261</v>
      </c>
      <c r="C94" s="19" t="s">
        <v>262</v>
      </c>
      <c r="D94" s="20" t="s">
        <v>6</v>
      </c>
      <c r="E94" s="20" t="s">
        <v>11</v>
      </c>
      <c r="F94" s="20" t="s">
        <v>48</v>
      </c>
      <c r="G94" s="21">
        <v>46341</v>
      </c>
      <c r="H94" s="21">
        <v>46341</v>
      </c>
      <c r="I94" s="22">
        <v>1</v>
      </c>
      <c r="J94" s="14"/>
      <c r="K94" s="14"/>
      <c r="L94" s="14"/>
      <c r="M94" s="14"/>
      <c r="N94" s="14"/>
      <c r="O94" s="15">
        <v>1</v>
      </c>
      <c r="P94" s="18" t="s">
        <v>263</v>
      </c>
      <c r="Q94" s="19" t="s">
        <v>264</v>
      </c>
      <c r="R94" s="19" t="s">
        <v>39</v>
      </c>
      <c r="S94" s="54" t="s">
        <v>245</v>
      </c>
    </row>
  </sheetData>
  <mergeCells count="16">
    <mergeCell ref="P9:S9"/>
    <mergeCell ref="A9:I9"/>
    <mergeCell ref="J9:O9"/>
    <mergeCell ref="D4:E4"/>
    <mergeCell ref="D5:E5"/>
    <mergeCell ref="D6:E6"/>
    <mergeCell ref="B4:C4"/>
    <mergeCell ref="B5:C5"/>
    <mergeCell ref="B6:C6"/>
    <mergeCell ref="Q3:S3"/>
    <mergeCell ref="F4:H4"/>
    <mergeCell ref="F5:H5"/>
    <mergeCell ref="F6:H6"/>
    <mergeCell ref="A1:P1"/>
    <mergeCell ref="A3:H3"/>
    <mergeCell ref="J3:P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Bảo Trung</cp:lastModifiedBy>
  <dcterms:modified xsi:type="dcterms:W3CDTF">2026-10-05T05:08:36Z</dcterms:modified>
</cp:coreProperties>
</file>